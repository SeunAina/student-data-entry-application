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https://d.docs.live.net/e4bdcfa319cf9965/Desktop/UPWORK PROJECTS/"/>
    </mc:Choice>
  </mc:AlternateContent>
  <xr:revisionPtr revIDLastSave="114" documentId="11_319890BE5177E5F0D2B4775AFC8379AB36D3D148" xr6:coauthVersionLast="47" xr6:coauthVersionMax="47" xr10:uidLastSave="{84B88FA1-BD7E-4F22-AA35-5847C44450EE}"/>
  <bookViews>
    <workbookView xWindow="-120" yWindow="-120" windowWidth="29040" windowHeight="15840" xr2:uid="{00000000-000D-0000-FFFF-FFFF00000000}"/>
  </bookViews>
  <sheets>
    <sheet name="DATA ENTRY APPLICATION" sheetId="1" r:id="rId1"/>
    <sheet name="MASTER DATA TABLE" sheetId="4" r:id="rId2"/>
    <sheet name="APPLICATION FORM" sheetId="5" r:id="rId3"/>
    <sheet name="PIVOT TABLE" sheetId="6" r:id="rId4"/>
    <sheet name="PIVOT CHARTS" sheetId="7" r:id="rId5"/>
  </sheets>
  <definedNames>
    <definedName name="CIVIL">'MASTER DATA TABLE'!$H:$H</definedName>
    <definedName name="COURSE">'MASTER DATA TABLE'!$M:$M</definedName>
    <definedName name="GENDER">'MASTER DATA TABLE'!$I:$I</definedName>
    <definedName name="MEDIUM">'MASTER DATA TABLE'!$N:$N</definedName>
    <definedName name="_xlnm.Print_Area" localSheetId="2">'APPLICATION FORM'!$A$1:$H$32</definedName>
    <definedName name="PROVINCE">'MASTER DATA TABLE'!$F:$F</definedName>
    <definedName name="RELIGION">'MASTER DATA TABLE'!$J:$J</definedName>
    <definedName name="Slicer_CITY">#N/A</definedName>
    <definedName name="Slicer_CIVIL_STATUS">#N/A</definedName>
    <definedName name="Slicer_COURSE_NAME">#N/A</definedName>
    <definedName name="Slicer_GENDER">#N/A</definedName>
    <definedName name="Slicer_RELIGION">#N/A</definedName>
  </definedNames>
  <calcPr calcId="191029" calcMode="autoNoTable" iterate="1"/>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7" i="1" l="1"/>
  <c r="M18" i="1"/>
  <c r="M19" i="1"/>
  <c r="M16" i="1"/>
  <c r="M12" i="1"/>
  <c r="M11" i="1"/>
  <c r="M5" i="1"/>
  <c r="M6" i="1"/>
  <c r="M7" i="1"/>
  <c r="M4" i="1"/>
  <c r="H17" i="1"/>
  <c r="H16" i="1"/>
  <c r="H18" i="1" s="1"/>
  <c r="H12" i="1"/>
  <c r="H11" i="1"/>
  <c r="H5" i="1"/>
  <c r="H6" i="1"/>
  <c r="H7" i="1"/>
  <c r="H4" i="1"/>
  <c r="B7" i="5"/>
  <c r="B8" i="5"/>
  <c r="B9" i="5"/>
  <c r="B10" i="5"/>
  <c r="B11" i="5"/>
  <c r="B12" i="5"/>
  <c r="B13" i="5"/>
  <c r="B14" i="5"/>
  <c r="B15" i="5"/>
  <c r="B16" i="5"/>
  <c r="B17" i="5"/>
  <c r="B19" i="5"/>
  <c r="B20" i="5"/>
  <c r="B21" i="5"/>
  <c r="B4" i="1"/>
  <c r="M20" i="1" l="1"/>
  <c r="H13" i="1"/>
  <c r="M8" i="1"/>
  <c r="M13" i="1"/>
  <c r="H8" i="1"/>
  <c r="D6" i="1"/>
  <c r="E6" i="1" s="1"/>
  <c r="D7" i="1"/>
  <c r="E7" i="1" s="1"/>
  <c r="D8" i="1"/>
  <c r="E8" i="1" s="1"/>
  <c r="D9" i="1"/>
  <c r="E9" i="1" s="1"/>
  <c r="D10" i="1"/>
  <c r="E10" i="1" s="1"/>
  <c r="D11" i="1"/>
  <c r="E11" i="1" s="1"/>
  <c r="D12" i="1"/>
  <c r="E12" i="1" s="1"/>
  <c r="D13" i="1"/>
  <c r="E13" i="1" s="1"/>
  <c r="D14" i="1"/>
  <c r="E14" i="1" s="1"/>
  <c r="D15" i="1"/>
  <c r="E15" i="1" s="1"/>
  <c r="D16" i="1"/>
  <c r="E16" i="1" s="1"/>
  <c r="D17" i="1"/>
  <c r="E17" i="1" s="1"/>
  <c r="D18" i="1"/>
  <c r="E18" i="1" s="1"/>
  <c r="D5" i="1"/>
  <c r="E5" i="1" s="1"/>
  <c r="D3" i="1"/>
  <c r="E3" i="1" s="1"/>
</calcChain>
</file>

<file path=xl/sharedStrings.xml><?xml version="1.0" encoding="utf-8"?>
<sst xmlns="http://schemas.openxmlformats.org/spreadsheetml/2006/main" count="489" uniqueCount="224">
  <si>
    <t>STUDENT DATA ENTRY APPLICATION</t>
  </si>
  <si>
    <t>ROLL NO</t>
  </si>
  <si>
    <t>FULL NAME</t>
  </si>
  <si>
    <t>ADDRESS</t>
  </si>
  <si>
    <t xml:space="preserve">CITY </t>
  </si>
  <si>
    <t>ZIP CODE</t>
  </si>
  <si>
    <t>PROVINCE</t>
  </si>
  <si>
    <t>CIVIL STATUS</t>
  </si>
  <si>
    <t>GENDER</t>
  </si>
  <si>
    <t>RELIGION</t>
  </si>
  <si>
    <t>PHONE NO</t>
  </si>
  <si>
    <t>DATE OF BIRTH</t>
  </si>
  <si>
    <t>COURSE NAME</t>
  </si>
  <si>
    <t>MEDIUM</t>
  </si>
  <si>
    <t>REG.DATE</t>
  </si>
  <si>
    <t>EMAIL</t>
  </si>
  <si>
    <t>EAST</t>
  </si>
  <si>
    <t>STUDENT'S PROVINCE</t>
  </si>
  <si>
    <t>STUDENT DATA STATISTICS</t>
  </si>
  <si>
    <t>WEST</t>
  </si>
  <si>
    <t>NORTH</t>
  </si>
  <si>
    <t>SOUTH</t>
  </si>
  <si>
    <t>STUDENT'S CIVIL STATUS</t>
  </si>
  <si>
    <t>SINGLE</t>
  </si>
  <si>
    <t>MARRIED</t>
  </si>
  <si>
    <t>STUDENT'S GENDER</t>
  </si>
  <si>
    <t>MALE</t>
  </si>
  <si>
    <t>FEMALE</t>
  </si>
  <si>
    <t>STUDENT'S RELIGION</t>
  </si>
  <si>
    <t>ISLAM</t>
  </si>
  <si>
    <t>CHRISTIAN</t>
  </si>
  <si>
    <t>STUDENT'S COURSE</t>
  </si>
  <si>
    <t>MARKETING MANAGEMENT</t>
  </si>
  <si>
    <t>IT</t>
  </si>
  <si>
    <t>STUDENT'S MEDIUM</t>
  </si>
  <si>
    <t>ENGLISH</t>
  </si>
  <si>
    <t>YORUBA</t>
  </si>
  <si>
    <t>IGBO</t>
  </si>
  <si>
    <t>HAUSA</t>
  </si>
  <si>
    <t>TOTAL</t>
  </si>
  <si>
    <t>BENSON GIFT</t>
  </si>
  <si>
    <t>01, BENSON STREET</t>
  </si>
  <si>
    <t>LAGOS</t>
  </si>
  <si>
    <t>bensongift@gmail.com</t>
  </si>
  <si>
    <t>BENSON JOY</t>
  </si>
  <si>
    <t>JOHNSON MOSES</t>
  </si>
  <si>
    <t>JOHNSON PRAISE</t>
  </si>
  <si>
    <t>BENSON HIGH EDUCATION CENTER</t>
  </si>
  <si>
    <t>NO 1, BENSON STREET</t>
  </si>
  <si>
    <t>I hereby Declared that the above information are true and correct to the best of my knowledge</t>
  </si>
  <si>
    <t>Office Use</t>
  </si>
  <si>
    <t>Prepared By</t>
  </si>
  <si>
    <t>Checked By</t>
  </si>
  <si>
    <t>Email - bensonhigheducation@gmail.com</t>
  </si>
  <si>
    <t>STUDENT PERSONAL INFORMATION</t>
  </si>
  <si>
    <t>CITY</t>
  </si>
  <si>
    <t>COURSE DETAILS</t>
  </si>
  <si>
    <t>COURSENAME</t>
  </si>
  <si>
    <t>REG. TIME</t>
  </si>
  <si>
    <t>STUDENT'S APPLICATION FORM</t>
  </si>
  <si>
    <t>STUDENT'S STATEMENT</t>
  </si>
  <si>
    <t>APPLICANT'S SIGNATURE</t>
  </si>
  <si>
    <t>--------------------------------------------</t>
  </si>
  <si>
    <t>---------------------------</t>
  </si>
  <si>
    <t>----------------------------</t>
  </si>
  <si>
    <t xml:space="preserve"> Jessica Jones</t>
  </si>
  <si>
    <t>New York</t>
  </si>
  <si>
    <t>West</t>
  </si>
  <si>
    <t>jessicajones@gmail.com</t>
  </si>
  <si>
    <t>Single</t>
  </si>
  <si>
    <t>Female</t>
  </si>
  <si>
    <t>Wednesday, June 15, 1994</t>
  </si>
  <si>
    <t>English</t>
  </si>
  <si>
    <t>Friday, March 15, 2024</t>
  </si>
  <si>
    <t>Lagos</t>
  </si>
  <si>
    <t>East</t>
  </si>
  <si>
    <t>Islam</t>
  </si>
  <si>
    <t>Monday, March 25, 2024</t>
  </si>
  <si>
    <t>02, Main Street</t>
  </si>
  <si>
    <t xml:space="preserve"> Michael Smith</t>
  </si>
  <si>
    <t>123, Oak Avenue</t>
  </si>
  <si>
    <t>Chicago</t>
  </si>
  <si>
    <t>North</t>
  </si>
  <si>
    <t>michaelsmith@gmail.com</t>
  </si>
  <si>
    <t>Married</t>
  </si>
  <si>
    <t>Male</t>
  </si>
  <si>
    <t>Monday, August 21, 1990</t>
  </si>
  <si>
    <t>Wednesday, March 20, 2024</t>
  </si>
  <si>
    <t xml:space="preserve"> Sarah Johnson</t>
  </si>
  <si>
    <t>456, Pine Road</t>
  </si>
  <si>
    <t>San Francisco</t>
  </si>
  <si>
    <t>South</t>
  </si>
  <si>
    <t>sarahjohnson@gmail.com</t>
  </si>
  <si>
    <t>Saturday, October 10, 1992</t>
  </si>
  <si>
    <t>Thursday, March 28, 2024</t>
  </si>
  <si>
    <t>FINANACE MANAGEMENT</t>
  </si>
  <si>
    <t xml:space="preserve"> David Williams</t>
  </si>
  <si>
    <t>789, Maple Lane</t>
  </si>
  <si>
    <t>Boston</t>
  </si>
  <si>
    <t>davidwilliams@gmail.com</t>
  </si>
  <si>
    <t>Friday, April 5, 1985</t>
  </si>
  <si>
    <t>Tuesday, March 5, 2024</t>
  </si>
  <si>
    <t xml:space="preserve"> Emily Brown</t>
  </si>
  <si>
    <t>369, Cedar Street</t>
  </si>
  <si>
    <t>Seattle</t>
  </si>
  <si>
    <t>emilybrown@gmail.com</t>
  </si>
  <si>
    <t>Sunday, January 12, 1997</t>
  </si>
  <si>
    <t>Sunday, March 10, 2024</t>
  </si>
  <si>
    <t>HUMAN RESOURCE MANAGEMENT</t>
  </si>
  <si>
    <t xml:space="preserve"> Daniel Martinez</t>
  </si>
  <si>
    <t>753, Elm Court</t>
  </si>
  <si>
    <t>Phoenix</t>
  </si>
  <si>
    <t>danielmartinez@gmail.com</t>
  </si>
  <si>
    <t>Tuesday, September 30, 1986</t>
  </si>
  <si>
    <t>Monday, March 18, 2024</t>
  </si>
  <si>
    <t xml:space="preserve"> Olivia Garcia</t>
  </si>
  <si>
    <t>951, Walnut Drive</t>
  </si>
  <si>
    <t>Dallas</t>
  </si>
  <si>
    <t>oliviagarcia@gmail.com</t>
  </si>
  <si>
    <t>Friday, July 4, 1991</t>
  </si>
  <si>
    <t>Friday, March 22, 2024</t>
  </si>
  <si>
    <t xml:space="preserve"> Ethan Rodriguez</t>
  </si>
  <si>
    <t>852, Birch Lane</t>
  </si>
  <si>
    <t>Miami</t>
  </si>
  <si>
    <t>ethanrodriguez@gmail.com</t>
  </si>
  <si>
    <t>Wednesday, May 25, 1994</t>
  </si>
  <si>
    <t>Wednesday, March 27, 2024</t>
  </si>
  <si>
    <t xml:space="preserve"> Sophia Hernandez</t>
  </si>
  <si>
    <t>654, Willow Road</t>
  </si>
  <si>
    <t>Atlanta</t>
  </si>
  <si>
    <t>sophiahernandez@gmail.com</t>
  </si>
  <si>
    <t>Saturday, November 30, 1988</t>
  </si>
  <si>
    <t>Saturday, March 30, 2024</t>
  </si>
  <si>
    <t xml:space="preserve"> Lucas Lee</t>
  </si>
  <si>
    <t>753, Sycamore Street</t>
  </si>
  <si>
    <t>Philadelphia</t>
  </si>
  <si>
    <t>lucaslee@gmail.com</t>
  </si>
  <si>
    <t>Monday, February 19, 1996</t>
  </si>
  <si>
    <t xml:space="preserve"> Mia Kim</t>
  </si>
  <si>
    <t>357, Cherry Avenue</t>
  </si>
  <si>
    <t>Denver</t>
  </si>
  <si>
    <t>miakim@gmail.com</t>
  </si>
  <si>
    <t>Sunday, December 8, 1996</t>
  </si>
  <si>
    <t>Sunday, March 31, 2024</t>
  </si>
  <si>
    <t xml:space="preserve"> Jayden Nguyen</t>
  </si>
  <si>
    <t>159, Poplar Court</t>
  </si>
  <si>
    <t>Houston</t>
  </si>
  <si>
    <t>jaydennguyen@gmail.com</t>
  </si>
  <si>
    <t>Friday, March 14, 1980</t>
  </si>
  <si>
    <t>Friday, March 8, 2024</t>
  </si>
  <si>
    <t xml:space="preserve"> Chloe Patel</t>
  </si>
  <si>
    <t>951, Oak Lane</t>
  </si>
  <si>
    <t>Detroit</t>
  </si>
  <si>
    <t>chloepatel@gmail.com</t>
  </si>
  <si>
    <t>Wednesday, October 3, 1984</t>
  </si>
  <si>
    <t>Wednesday, March 13, 2024</t>
  </si>
  <si>
    <t xml:space="preserve"> Alexander Gonzalez</t>
  </si>
  <si>
    <t>654, Cedar Street</t>
  </si>
  <si>
    <t>alexandergonzalez@gmail.com</t>
  </si>
  <si>
    <t>Saturday, April 20, 1991</t>
  </si>
  <si>
    <t>Saturday, March 16, 2024</t>
  </si>
  <si>
    <t xml:space="preserve"> Madison Liu</t>
  </si>
  <si>
    <t>852, Maple Drive</t>
  </si>
  <si>
    <t>madisonliu@gmail.com</t>
  </si>
  <si>
    <t>Thursday, June 27, 1996</t>
  </si>
  <si>
    <t>Thursday, March 21, 2024</t>
  </si>
  <si>
    <t xml:space="preserve"> Samuel Chang</t>
  </si>
  <si>
    <t>369, Elm Road</t>
  </si>
  <si>
    <t>samuelchang@gmail.com</t>
  </si>
  <si>
    <t>Sunday, August 5, 1990</t>
  </si>
  <si>
    <t>Sunday, March 24, 2024</t>
  </si>
  <si>
    <t xml:space="preserve"> Grace Murphy</t>
  </si>
  <si>
    <t>753, Walnut Avenue</t>
  </si>
  <si>
    <t>gracemurphy@gmail.com</t>
  </si>
  <si>
    <t>Tuesday, December 18, 1990</t>
  </si>
  <si>
    <t>Tuesday, March 26, 2024</t>
  </si>
  <si>
    <t xml:space="preserve"> Benjamin Rivera</t>
  </si>
  <si>
    <t>456, Pine Street</t>
  </si>
  <si>
    <t>benjaminrivera@gmail.com</t>
  </si>
  <si>
    <t>Saturday, January 9, 1993</t>
  </si>
  <si>
    <t>Saturday, March 9, 2024</t>
  </si>
  <si>
    <t xml:space="preserve"> Lily Ward</t>
  </si>
  <si>
    <t>789, Oak Drive</t>
  </si>
  <si>
    <t>lilyward@gmail.com</t>
  </si>
  <si>
    <t>Wednesday, September 11, 1996</t>
  </si>
  <si>
    <t xml:space="preserve"> Aiden Scott</t>
  </si>
  <si>
    <t>123, Birch Road</t>
  </si>
  <si>
    <t>aidenscott@gmail.com</t>
  </si>
  <si>
    <t>Saturday, May 8, 1999</t>
  </si>
  <si>
    <t>Saturday, March 17, 2024</t>
  </si>
  <si>
    <t xml:space="preserve"> Harper Torres</t>
  </si>
  <si>
    <t>369, Sycamore Drive</t>
  </si>
  <si>
    <t>harpertorres@gmail.com</t>
  </si>
  <si>
    <t>Monday, July 22, 1996</t>
  </si>
  <si>
    <t>Monday, March 20, 2024</t>
  </si>
  <si>
    <t xml:space="preserve"> Evelyn Flores</t>
  </si>
  <si>
    <t>456, Willow Lane</t>
  </si>
  <si>
    <t>evelynflores@gmail.com</t>
  </si>
  <si>
    <t>Thursday, April 3, 1997</t>
  </si>
  <si>
    <t>Thursday, March 23, 2024</t>
  </si>
  <si>
    <t xml:space="preserve"> Mateo Collins</t>
  </si>
  <si>
    <t>852, Elm Street</t>
  </si>
  <si>
    <t>mateocollins@gmail.com</t>
  </si>
  <si>
    <t>Sunday, November 14, 1993</t>
  </si>
  <si>
    <t>Sunday, March 27, 2024</t>
  </si>
  <si>
    <t xml:space="preserve"> Zoey Bennett</t>
  </si>
  <si>
    <t>123, Poplar Avenue</t>
  </si>
  <si>
    <t>zoeybennett@gmail.com</t>
  </si>
  <si>
    <t>Tuesday, February 26, 1985</t>
  </si>
  <si>
    <t>Row Labels</t>
  </si>
  <si>
    <t>Grand Total</t>
  </si>
  <si>
    <t>Count of ROLL NO</t>
  </si>
  <si>
    <t>Highest City</t>
  </si>
  <si>
    <t>Highest Province</t>
  </si>
  <si>
    <t>Number Of Married Student</t>
  </si>
  <si>
    <t>Number Of Single Student</t>
  </si>
  <si>
    <t>Number Of Male Student</t>
  </si>
  <si>
    <t>Number Of Female Student</t>
  </si>
  <si>
    <t>Finance Management</t>
  </si>
  <si>
    <t>Major Course Offered By Student</t>
  </si>
  <si>
    <t>Major Religion of Students</t>
  </si>
  <si>
    <t>Most Preferred Language</t>
  </si>
  <si>
    <t xml:space="preserve">DECISION GENERATED FROM PIVOT TABLE </t>
  </si>
  <si>
    <t>SUDENT'S DATA ENTRY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</si>
</sst>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4" x14ac:knownFonts="1">
    <font>
      <sz val="11"/>
      <color theme="1"/>
      <name val="Calibri"/>
      <family val="2"/>
      <scheme val="minor"/>
    </font>
    <font>
      <u/>
      <sz val="11"/>
      <color theme="10"/>
      <name val="Calibri"/>
      <family val="2"/>
      <scheme val="minor"/>
    </font>
    <font>
      <b/>
      <sz val="12"/>
      <color theme="1"/>
      <name val="Times New Roman"/>
      <family val="1"/>
    </font>
    <font>
      <b/>
      <u/>
      <sz val="16"/>
      <color theme="1"/>
      <name val="Algerian"/>
      <family val="5"/>
    </font>
    <font>
      <sz val="11"/>
      <color theme="1"/>
      <name val="Wingdings 2"/>
      <family val="1"/>
      <charset val="2"/>
    </font>
    <font>
      <sz val="20"/>
      <color theme="9" tint="-0.249977111117893"/>
      <name val="Wingdings 2"/>
      <family val="1"/>
      <charset val="2"/>
    </font>
    <font>
      <sz val="20"/>
      <color rgb="FFFF0000"/>
      <name val="Calibri"/>
      <family val="2"/>
      <scheme val="minor"/>
    </font>
    <font>
      <b/>
      <sz val="14"/>
      <color theme="1"/>
      <name val="Times New Roman"/>
      <family val="1"/>
    </font>
    <font>
      <sz val="14"/>
      <color theme="1"/>
      <name val="Calibri"/>
      <family val="2"/>
      <scheme val="minor"/>
    </font>
    <font>
      <b/>
      <u/>
      <sz val="20"/>
      <color theme="1"/>
      <name val="Algerian"/>
      <family val="5"/>
    </font>
    <font>
      <b/>
      <sz val="12"/>
      <color theme="1"/>
      <name val="Times New Roman"/>
    </font>
    <font>
      <b/>
      <sz val="11"/>
      <color theme="0"/>
      <name val="Calibri"/>
      <family val="2"/>
      <scheme val="minor"/>
    </font>
    <font>
      <b/>
      <sz val="14"/>
      <color rgb="FFFF0000"/>
      <name val="Calibri"/>
      <family val="2"/>
      <scheme val="minor"/>
    </font>
    <font>
      <sz val="20"/>
      <color theme="1"/>
      <name val="Algerian"/>
      <family val="5"/>
    </font>
    <font>
      <sz val="12"/>
      <color theme="1"/>
      <name val="Calibri"/>
      <family val="2"/>
      <scheme val="minor"/>
    </font>
    <font>
      <sz val="16"/>
      <color theme="1"/>
      <name val="Calibri"/>
      <family val="2"/>
      <scheme val="minor"/>
    </font>
    <font>
      <sz val="11"/>
      <color theme="1"/>
      <name val="Times New Roman"/>
      <family val="1"/>
    </font>
    <font>
      <b/>
      <sz val="11"/>
      <name val="Times New Roman"/>
      <family val="1"/>
    </font>
    <font>
      <b/>
      <sz val="14"/>
      <color theme="0"/>
      <name val="Calibri"/>
      <family val="2"/>
      <scheme val="minor"/>
    </font>
    <font>
      <b/>
      <sz val="16"/>
      <color theme="0"/>
      <name val="Calibri"/>
      <family val="2"/>
      <scheme val="minor"/>
    </font>
    <font>
      <b/>
      <sz val="11"/>
      <color theme="1"/>
      <name val="Times New Roman"/>
      <family val="1"/>
    </font>
    <font>
      <b/>
      <sz val="9"/>
      <color theme="1"/>
      <name val="Times New Roman"/>
      <family val="1"/>
    </font>
    <font>
      <sz val="12"/>
      <color theme="1"/>
      <name val="Times New Roman"/>
      <family val="1"/>
    </font>
    <font>
      <b/>
      <sz val="12"/>
      <name val="Times New Roman"/>
      <family val="1"/>
    </font>
  </fonts>
  <fills count="7">
    <fill>
      <patternFill patternType="none"/>
    </fill>
    <fill>
      <patternFill patternType="gray125"/>
    </fill>
    <fill>
      <patternFill patternType="solid">
        <fgColor theme="5" tint="-0.249977111117893"/>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499984740745262"/>
        <bgColor indexed="64"/>
      </patternFill>
    </fill>
    <fill>
      <patternFill patternType="solid">
        <fgColor theme="0"/>
        <bgColor indexed="64"/>
      </patternFill>
    </fill>
  </fills>
  <borders count="33">
    <border>
      <left/>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1"/>
      </left>
      <right style="thin">
        <color theme="1"/>
      </right>
      <top style="thin">
        <color theme="1"/>
      </top>
      <bottom style="thin">
        <color theme="1"/>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thin">
        <color theme="1"/>
      </left>
      <right style="medium">
        <color theme="1"/>
      </right>
      <top style="thin">
        <color theme="1"/>
      </top>
      <bottom style="medium">
        <color theme="1"/>
      </bottom>
      <diagonal/>
    </border>
    <border>
      <left style="medium">
        <color theme="1"/>
      </left>
      <right/>
      <top style="thin">
        <color theme="1"/>
      </top>
      <bottom style="medium">
        <color theme="1"/>
      </bottom>
      <diagonal/>
    </border>
    <border>
      <left/>
      <right style="thin">
        <color theme="1"/>
      </right>
      <top style="thin">
        <color theme="1"/>
      </top>
      <bottom style="medium">
        <color theme="1"/>
      </bottom>
      <diagonal/>
    </border>
    <border>
      <left style="thin">
        <color indexed="64"/>
      </left>
      <right style="medium">
        <color indexed="64"/>
      </right>
      <top style="thin">
        <color theme="4" tint="0.39997558519241921"/>
      </top>
      <bottom style="thin">
        <color theme="4" tint="0.39997558519241921"/>
      </bottom>
      <diagonal/>
    </border>
    <border>
      <left style="thin">
        <color indexed="64"/>
      </left>
      <right style="medium">
        <color indexed="64"/>
      </right>
      <top style="thin">
        <color indexed="64"/>
      </top>
      <bottom style="thin">
        <color theme="4" tint="0.3999755851924192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94">
    <xf numFmtId="0" fontId="0" fillId="0" borderId="0" xfId="0"/>
    <xf numFmtId="0" fontId="0" fillId="3" borderId="0" xfId="0" applyFill="1"/>
    <xf numFmtId="0" fontId="4" fillId="3" borderId="0" xfId="0" applyFont="1" applyFill="1"/>
    <xf numFmtId="0" fontId="5" fillId="3" borderId="0" xfId="0" applyFont="1" applyFill="1"/>
    <xf numFmtId="0" fontId="3" fillId="3" borderId="0" xfId="0" applyFont="1" applyFill="1"/>
    <xf numFmtId="0" fontId="0" fillId="3" borderId="9" xfId="0" applyFill="1" applyBorder="1"/>
    <xf numFmtId="0" fontId="6" fillId="3" borderId="0" xfId="0" applyFont="1" applyFill="1"/>
    <xf numFmtId="0" fontId="7" fillId="2" borderId="1" xfId="0" applyFont="1" applyFill="1" applyBorder="1" applyAlignment="1">
      <alignment vertical="center"/>
    </xf>
    <xf numFmtId="0" fontId="9" fillId="3" borderId="0" xfId="0" applyFont="1" applyFill="1" applyAlignment="1">
      <alignment horizontal="center"/>
    </xf>
    <xf numFmtId="0" fontId="7" fillId="4" borderId="7" xfId="0" applyFont="1" applyFill="1" applyBorder="1" applyAlignment="1">
      <alignment horizontal="left" vertical="center"/>
    </xf>
    <xf numFmtId="0" fontId="7" fillId="4" borderId="3" xfId="0" applyFont="1" applyFill="1" applyBorder="1" applyAlignment="1">
      <alignment horizontal="left" vertical="center"/>
    </xf>
    <xf numFmtId="0" fontId="7" fillId="4" borderId="5" xfId="0" applyFont="1" applyFill="1" applyBorder="1" applyAlignment="1">
      <alignment horizontal="left" vertical="center"/>
    </xf>
    <xf numFmtId="0" fontId="0" fillId="3" borderId="15" xfId="0" applyFill="1" applyBorder="1"/>
    <xf numFmtId="0" fontId="0" fillId="2" borderId="16" xfId="0" applyFill="1" applyBorder="1"/>
    <xf numFmtId="0" fontId="12" fillId="3" borderId="8" xfId="0" applyFont="1" applyFill="1" applyBorder="1"/>
    <xf numFmtId="0" fontId="20" fillId="6" borderId="0" xfId="0" applyFont="1" applyFill="1" applyAlignment="1">
      <alignment horizontal="left"/>
    </xf>
    <xf numFmtId="0" fontId="0" fillId="6" borderId="0" xfId="0" applyFill="1"/>
    <xf numFmtId="0" fontId="20" fillId="6" borderId="21" xfId="0" applyFont="1" applyFill="1" applyBorder="1" applyAlignment="1">
      <alignment horizontal="left"/>
    </xf>
    <xf numFmtId="0" fontId="20" fillId="6" borderId="22" xfId="0" applyFont="1" applyFill="1" applyBorder="1" applyAlignment="1">
      <alignment horizontal="left"/>
    </xf>
    <xf numFmtId="0" fontId="16" fillId="6" borderId="21" xfId="0" applyFont="1" applyFill="1" applyBorder="1"/>
    <xf numFmtId="0" fontId="16" fillId="6" borderId="0" xfId="0" applyFont="1" applyFill="1"/>
    <xf numFmtId="0" fontId="16" fillId="6" borderId="22" xfId="0" applyFont="1" applyFill="1" applyBorder="1"/>
    <xf numFmtId="0" fontId="16" fillId="6" borderId="21" xfId="0" quotePrefix="1" applyFont="1" applyFill="1" applyBorder="1"/>
    <xf numFmtId="0" fontId="16" fillId="6" borderId="0" xfId="0" quotePrefix="1" applyFont="1" applyFill="1"/>
    <xf numFmtId="0" fontId="16" fillId="6" borderId="23" xfId="0" applyFont="1" applyFill="1" applyBorder="1" applyAlignment="1">
      <alignment horizontal="center"/>
    </xf>
    <xf numFmtId="0" fontId="16" fillId="6" borderId="24" xfId="0" applyFont="1" applyFill="1" applyBorder="1"/>
    <xf numFmtId="0" fontId="16" fillId="6" borderId="25" xfId="0" applyFont="1" applyFill="1" applyBorder="1"/>
    <xf numFmtId="0" fontId="16" fillId="6" borderId="21" xfId="0" applyFont="1" applyFill="1" applyBorder="1" applyAlignment="1">
      <alignment horizontal="left"/>
    </xf>
    <xf numFmtId="0" fontId="16" fillId="6" borderId="0" xfId="0" applyFont="1" applyFill="1" applyAlignment="1">
      <alignment horizontal="left"/>
    </xf>
    <xf numFmtId="0" fontId="16" fillId="6" borderId="22" xfId="0" applyFont="1" applyFill="1" applyBorder="1" applyAlignment="1">
      <alignment horizontal="left"/>
    </xf>
    <xf numFmtId="0" fontId="16" fillId="0" borderId="3" xfId="0" applyFont="1" applyBorder="1"/>
    <xf numFmtId="0" fontId="0" fillId="0" borderId="0" xfId="0" pivotButton="1"/>
    <xf numFmtId="0" fontId="0" fillId="0" borderId="0" xfId="0" applyAlignment="1">
      <alignment horizontal="left"/>
    </xf>
    <xf numFmtId="0" fontId="0" fillId="0" borderId="3" xfId="0" applyBorder="1"/>
    <xf numFmtId="0" fontId="0" fillId="0" borderId="4" xfId="0" applyBorder="1" applyAlignment="1">
      <alignment horizontal="right"/>
    </xf>
    <xf numFmtId="0" fontId="0" fillId="0" borderId="5" xfId="0" applyBorder="1"/>
    <xf numFmtId="0" fontId="0" fillId="0" borderId="6" xfId="0" applyBorder="1" applyAlignment="1">
      <alignment horizontal="right"/>
    </xf>
    <xf numFmtId="0" fontId="0" fillId="5" borderId="0" xfId="0" applyFill="1"/>
    <xf numFmtId="0" fontId="2" fillId="3" borderId="2" xfId="0" applyFont="1" applyFill="1" applyBorder="1" applyAlignment="1" applyProtection="1">
      <alignment vertical="center"/>
      <protection locked="0"/>
    </xf>
    <xf numFmtId="0" fontId="10" fillId="3" borderId="19" xfId="0" applyFont="1" applyFill="1" applyBorder="1" applyAlignment="1" applyProtection="1">
      <alignment horizontal="left" vertical="center"/>
      <protection locked="0"/>
    </xf>
    <xf numFmtId="0" fontId="10" fillId="3" borderId="20" xfId="0" applyFont="1" applyFill="1" applyBorder="1" applyAlignment="1" applyProtection="1">
      <alignment horizontal="left" vertical="center"/>
      <protection locked="0"/>
    </xf>
    <xf numFmtId="0" fontId="1" fillId="3" borderId="20" xfId="1" applyFill="1" applyBorder="1" applyAlignment="1" applyProtection="1">
      <alignment horizontal="left" vertical="center"/>
      <protection locked="0"/>
    </xf>
    <xf numFmtId="164" fontId="10" fillId="3" borderId="20" xfId="0" applyNumberFormat="1" applyFont="1" applyFill="1" applyBorder="1" applyAlignment="1" applyProtection="1">
      <alignment horizontal="left" vertical="center"/>
      <protection locked="0"/>
    </xf>
    <xf numFmtId="164" fontId="2" fillId="3" borderId="20" xfId="0" applyNumberFormat="1" applyFont="1" applyFill="1" applyBorder="1" applyAlignment="1" applyProtection="1">
      <alignment horizontal="left" vertical="center"/>
      <protection locked="0"/>
    </xf>
    <xf numFmtId="0" fontId="14" fillId="0" borderId="0" xfId="0" applyFont="1"/>
    <xf numFmtId="0" fontId="9" fillId="2" borderId="0" xfId="0" applyFont="1" applyFill="1" applyAlignment="1">
      <alignment horizontal="center"/>
    </xf>
    <xf numFmtId="0" fontId="2" fillId="2" borderId="11" xfId="0" applyFont="1" applyFill="1" applyBorder="1" applyAlignment="1">
      <alignment horizontal="center"/>
    </xf>
    <xf numFmtId="0" fontId="2" fillId="2" borderId="12" xfId="0" applyFont="1" applyFill="1" applyBorder="1" applyAlignment="1">
      <alignment horizontal="center"/>
    </xf>
    <xf numFmtId="0" fontId="2" fillId="2" borderId="13" xfId="0" applyFont="1" applyFill="1" applyBorder="1" applyAlignment="1">
      <alignment horizontal="center"/>
    </xf>
    <xf numFmtId="0" fontId="2" fillId="4" borderId="14" xfId="0" applyFont="1" applyFill="1" applyBorder="1" applyAlignment="1">
      <alignment horizontal="left"/>
    </xf>
    <xf numFmtId="0" fontId="2" fillId="4" borderId="10" xfId="0" applyFont="1" applyFill="1" applyBorder="1" applyAlignment="1">
      <alignment horizontal="left"/>
    </xf>
    <xf numFmtId="0" fontId="2" fillId="2" borderId="17" xfId="0" applyFont="1" applyFill="1" applyBorder="1" applyAlignment="1">
      <alignment horizontal="left"/>
    </xf>
    <xf numFmtId="0" fontId="2" fillId="2" borderId="18" xfId="0" applyFont="1" applyFill="1" applyBorder="1" applyAlignment="1">
      <alignment horizontal="left"/>
    </xf>
    <xf numFmtId="0" fontId="16" fillId="0" borderId="26" xfId="0" applyFont="1" applyBorder="1" applyAlignment="1">
      <alignment horizontal="left"/>
    </xf>
    <xf numFmtId="0" fontId="16" fillId="0" borderId="4" xfId="0" applyFont="1" applyBorder="1" applyAlignment="1">
      <alignment horizontal="left"/>
    </xf>
    <xf numFmtId="164" fontId="16" fillId="0" borderId="26" xfId="0" applyNumberFormat="1" applyFont="1" applyBorder="1" applyAlignment="1">
      <alignment horizontal="left"/>
    </xf>
    <xf numFmtId="164" fontId="16" fillId="0" borderId="4" xfId="0" applyNumberFormat="1" applyFont="1" applyBorder="1" applyAlignment="1">
      <alignment horizontal="left"/>
    </xf>
    <xf numFmtId="0" fontId="21" fillId="6" borderId="0" xfId="0" quotePrefix="1" applyFont="1" applyFill="1" applyAlignment="1">
      <alignment horizontal="center"/>
    </xf>
    <xf numFmtId="0" fontId="21" fillId="6" borderId="0" xfId="0" applyFont="1" applyFill="1" applyAlignment="1">
      <alignment horizontal="center"/>
    </xf>
    <xf numFmtId="0" fontId="21" fillId="6" borderId="22" xfId="0" applyFont="1" applyFill="1" applyBorder="1" applyAlignment="1">
      <alignment horizontal="center"/>
    </xf>
    <xf numFmtId="0" fontId="16" fillId="6" borderId="24" xfId="0" applyFont="1" applyFill="1" applyBorder="1" applyAlignment="1">
      <alignment horizontal="center"/>
    </xf>
    <xf numFmtId="0" fontId="20" fillId="3" borderId="21" xfId="0" applyFont="1" applyFill="1" applyBorder="1" applyAlignment="1">
      <alignment horizontal="left"/>
    </xf>
    <xf numFmtId="0" fontId="20" fillId="3" borderId="0" xfId="0" applyFont="1" applyFill="1" applyAlignment="1">
      <alignment horizontal="left"/>
    </xf>
    <xf numFmtId="0" fontId="20" fillId="3" borderId="22" xfId="0" applyFont="1" applyFill="1" applyBorder="1" applyAlignment="1">
      <alignment horizontal="left"/>
    </xf>
    <xf numFmtId="0" fontId="16" fillId="0" borderId="30" xfId="0" applyFont="1" applyBorder="1" applyAlignment="1">
      <alignment horizontal="left"/>
    </xf>
    <xf numFmtId="0" fontId="16" fillId="0" borderId="31" xfId="0" applyFont="1" applyBorder="1" applyAlignment="1">
      <alignment horizontal="left"/>
    </xf>
    <xf numFmtId="0" fontId="16" fillId="0" borderId="32" xfId="0" applyFont="1" applyBorder="1" applyAlignment="1">
      <alignment horizontal="left"/>
    </xf>
    <xf numFmtId="0" fontId="19" fillId="5" borderId="3" xfId="0" applyFont="1" applyFill="1" applyBorder="1" applyAlignment="1">
      <alignment horizontal="center"/>
    </xf>
    <xf numFmtId="0" fontId="19" fillId="5" borderId="26" xfId="0" applyFont="1" applyFill="1" applyBorder="1" applyAlignment="1">
      <alignment horizontal="center"/>
    </xf>
    <xf numFmtId="0" fontId="19" fillId="5" borderId="4" xfId="0" applyFont="1" applyFill="1" applyBorder="1" applyAlignment="1">
      <alignment horizontal="center"/>
    </xf>
    <xf numFmtId="0" fontId="17" fillId="3" borderId="3" xfId="0" applyFont="1" applyFill="1" applyBorder="1" applyAlignment="1">
      <alignment horizontal="left"/>
    </xf>
    <xf numFmtId="0" fontId="17" fillId="3" borderId="26" xfId="0" applyFont="1" applyFill="1" applyBorder="1" applyAlignment="1">
      <alignment horizontal="left"/>
    </xf>
    <xf numFmtId="0" fontId="17" fillId="3" borderId="4" xfId="0" applyFont="1" applyFill="1" applyBorder="1" applyAlignment="1">
      <alignment horizontal="left"/>
    </xf>
    <xf numFmtId="0" fontId="20" fillId="3" borderId="3" xfId="0" applyFont="1" applyFill="1" applyBorder="1" applyAlignment="1">
      <alignment horizontal="left"/>
    </xf>
    <xf numFmtId="0" fontId="20" fillId="3" borderId="26" xfId="0" applyFont="1" applyFill="1" applyBorder="1" applyAlignment="1">
      <alignment horizontal="left"/>
    </xf>
    <xf numFmtId="0" fontId="20" fillId="3" borderId="4" xfId="0" applyFont="1" applyFill="1" applyBorder="1" applyAlignment="1">
      <alignment horizontal="left"/>
    </xf>
    <xf numFmtId="0" fontId="13" fillId="3" borderId="28" xfId="0" applyFont="1" applyFill="1" applyBorder="1" applyAlignment="1">
      <alignment horizontal="left"/>
    </xf>
    <xf numFmtId="0" fontId="13" fillId="3" borderId="29" xfId="0" applyFont="1" applyFill="1" applyBorder="1" applyAlignment="1">
      <alignment horizontal="left"/>
    </xf>
    <xf numFmtId="0" fontId="15" fillId="3" borderId="26" xfId="0" applyFont="1" applyFill="1" applyBorder="1" applyAlignment="1">
      <alignment horizontal="left"/>
    </xf>
    <xf numFmtId="0" fontId="15" fillId="3" borderId="4" xfId="0" applyFont="1" applyFill="1" applyBorder="1" applyAlignment="1">
      <alignment horizontal="left"/>
    </xf>
    <xf numFmtId="0" fontId="8" fillId="3" borderId="26" xfId="0" applyFont="1" applyFill="1" applyBorder="1" applyAlignment="1">
      <alignment horizontal="left"/>
    </xf>
    <xf numFmtId="0" fontId="8" fillId="3" borderId="4" xfId="0" applyFont="1" applyFill="1" applyBorder="1" applyAlignment="1">
      <alignment horizontal="left"/>
    </xf>
    <xf numFmtId="0" fontId="0" fillId="0" borderId="27" xfId="0" applyBorder="1" applyAlignment="1">
      <alignment horizontal="center"/>
    </xf>
    <xf numFmtId="0" fontId="0" fillId="0" borderId="3" xfId="0" applyBorder="1" applyAlignment="1">
      <alignment horizontal="center"/>
    </xf>
    <xf numFmtId="0" fontId="11" fillId="5" borderId="27" xfId="0" applyFont="1" applyFill="1" applyBorder="1" applyAlignment="1">
      <alignment horizontal="center"/>
    </xf>
    <xf numFmtId="0" fontId="11" fillId="5" borderId="29" xfId="0" applyFont="1" applyFill="1" applyBorder="1" applyAlignment="1">
      <alignment horizontal="center"/>
    </xf>
    <xf numFmtId="0" fontId="18" fillId="5" borderId="0" xfId="0" applyFont="1" applyFill="1" applyAlignment="1">
      <alignment horizontal="center" vertical="center"/>
    </xf>
    <xf numFmtId="0" fontId="23" fillId="2" borderId="26" xfId="0" applyFont="1" applyFill="1" applyBorder="1" applyAlignment="1">
      <alignment vertical="center"/>
    </xf>
    <xf numFmtId="0" fontId="23" fillId="4" borderId="26" xfId="0" applyFont="1" applyFill="1" applyBorder="1" applyAlignment="1">
      <alignment horizontal="left" vertical="center"/>
    </xf>
    <xf numFmtId="0" fontId="22" fillId="6" borderId="26" xfId="0" applyFont="1" applyFill="1" applyBorder="1" applyAlignment="1">
      <alignment vertical="center"/>
    </xf>
    <xf numFmtId="0" fontId="22" fillId="6" borderId="26" xfId="0" applyFont="1" applyFill="1" applyBorder="1" applyAlignment="1">
      <alignment horizontal="left" vertical="center"/>
    </xf>
    <xf numFmtId="0" fontId="1" fillId="6" borderId="26" xfId="1" applyFill="1" applyBorder="1" applyAlignment="1">
      <alignment horizontal="left" vertical="center"/>
    </xf>
    <xf numFmtId="164" fontId="22" fillId="6" borderId="26" xfId="0" applyNumberFormat="1" applyFont="1" applyFill="1" applyBorder="1" applyAlignment="1">
      <alignment horizontal="left" vertical="center"/>
    </xf>
    <xf numFmtId="0" fontId="0" fillId="0" borderId="26" xfId="0" applyBorder="1"/>
  </cellXfs>
  <cellStyles count="2">
    <cellStyle name="Hyperlink" xfId="1" builtinId="8"/>
    <cellStyle name="Normal" xfId="0" builtinId="0"/>
  </cellStyles>
  <dxfs count="17">
    <dxf>
      <font>
        <b/>
        <i val="0"/>
        <strike val="0"/>
        <condense val="0"/>
        <extend val="0"/>
        <outline val="0"/>
        <shadow val="0"/>
        <u val="none"/>
        <vertAlign val="baseline"/>
        <sz val="12"/>
        <color auto="1"/>
        <name val="Times New Roman"/>
        <scheme val="none"/>
      </font>
      <fill>
        <patternFill patternType="solid">
          <fgColor indexed="64"/>
          <bgColor theme="5" tint="0.59999389629810485"/>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164" formatCode="[$-F800]dddd\,\ mmmm\ dd\,\ yyyy"/>
      <fill>
        <patternFill patternType="solid">
          <fgColor indexed="64"/>
          <bgColor theme="0"/>
        </patternFill>
      </fill>
      <alignment horizontal="left"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164" formatCode="[$-F800]dddd\,\ mmmm\ dd\,\ yyyy"/>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font>
        <b val="0"/>
      </font>
      <fill>
        <patternFill>
          <fgColor indexed="64"/>
          <bgColor theme="0"/>
        </patternFill>
      </fill>
    </dxf>
  </dxfs>
  <tableStyles count="0" defaultTableStyle="TableStyleMedium2" defaultPivotStyle="PivotStyleLight16"/>
  <colors>
    <mruColors>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DATA ENTRY APPLICATION.xlsm]PIVOT TABLE!City_PV</c:name>
    <c:fmtId val="3"/>
  </c:pivotSource>
  <c:chart>
    <c:title>
      <c:tx>
        <c:rich>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r>
              <a:rPr lang="en-US" b="1" u="sng"/>
              <a:t>CITY BASED ENROLLMENT</a:t>
            </a:r>
          </a:p>
        </c:rich>
      </c:tx>
      <c:overlay val="0"/>
      <c:spPr>
        <a:noFill/>
        <a:ln>
          <a:noFill/>
        </a:ln>
        <a:effectLst/>
      </c:spPr>
      <c:txPr>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2">
              <a:lumMod val="50000"/>
            </a:schemeClr>
          </a:solidFill>
          <a:ln>
            <a:noFill/>
          </a:ln>
          <a:effectLst/>
        </c:spPr>
      </c:pivotFmt>
      <c:pivotFmt>
        <c:idx val="2"/>
        <c:spPr>
          <a:solidFill>
            <a:schemeClr val="accent2">
              <a:lumMod val="50000"/>
            </a:schemeClr>
          </a:solidFill>
          <a:ln>
            <a:noFill/>
          </a:ln>
          <a:effectLst/>
        </c:spPr>
        <c:marker>
          <c:symbol val="none"/>
        </c:marker>
      </c:pivotFmt>
      <c:pivotFmt>
        <c:idx val="3"/>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c:f>
              <c:strCache>
                <c:ptCount val="1"/>
                <c:pt idx="0">
                  <c:v>Total</c:v>
                </c:pt>
              </c:strCache>
            </c:strRef>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TABLE'!$A$4:$A$18</c:f>
              <c:strCache>
                <c:ptCount val="14"/>
                <c:pt idx="0">
                  <c:v>LAGOS</c:v>
                </c:pt>
                <c:pt idx="1">
                  <c:v>Phoenix</c:v>
                </c:pt>
                <c:pt idx="2">
                  <c:v>Boston</c:v>
                </c:pt>
                <c:pt idx="3">
                  <c:v>Dallas</c:v>
                </c:pt>
                <c:pt idx="4">
                  <c:v>Miami</c:v>
                </c:pt>
                <c:pt idx="5">
                  <c:v>Philadelphia</c:v>
                </c:pt>
                <c:pt idx="6">
                  <c:v>San Francisco</c:v>
                </c:pt>
                <c:pt idx="7">
                  <c:v>Detroit</c:v>
                </c:pt>
                <c:pt idx="8">
                  <c:v>Seattle</c:v>
                </c:pt>
                <c:pt idx="9">
                  <c:v>Atlanta</c:v>
                </c:pt>
                <c:pt idx="10">
                  <c:v>Houston</c:v>
                </c:pt>
                <c:pt idx="11">
                  <c:v>Denver</c:v>
                </c:pt>
                <c:pt idx="12">
                  <c:v>Chicago</c:v>
                </c:pt>
                <c:pt idx="13">
                  <c:v>New York</c:v>
                </c:pt>
              </c:strCache>
            </c:strRef>
          </c:cat>
          <c:val>
            <c:numRef>
              <c:f>'PIVOT TABLE'!$B$4:$B$18</c:f>
              <c:numCache>
                <c:formatCode>General</c:formatCode>
                <c:ptCount val="14"/>
                <c:pt idx="0">
                  <c:v>4</c:v>
                </c:pt>
                <c:pt idx="1">
                  <c:v>3</c:v>
                </c:pt>
                <c:pt idx="2">
                  <c:v>2</c:v>
                </c:pt>
                <c:pt idx="3">
                  <c:v>2</c:v>
                </c:pt>
                <c:pt idx="4">
                  <c:v>2</c:v>
                </c:pt>
                <c:pt idx="5">
                  <c:v>2</c:v>
                </c:pt>
                <c:pt idx="6">
                  <c:v>2</c:v>
                </c:pt>
                <c:pt idx="7">
                  <c:v>2</c:v>
                </c:pt>
                <c:pt idx="8">
                  <c:v>2</c:v>
                </c:pt>
                <c:pt idx="9">
                  <c:v>2</c:v>
                </c:pt>
                <c:pt idx="10">
                  <c:v>2</c:v>
                </c:pt>
                <c:pt idx="11">
                  <c:v>1</c:v>
                </c:pt>
                <c:pt idx="12">
                  <c:v>1</c:v>
                </c:pt>
                <c:pt idx="13">
                  <c:v>1</c:v>
                </c:pt>
              </c:numCache>
            </c:numRef>
          </c:val>
          <c:extLst>
            <c:ext xmlns:c16="http://schemas.microsoft.com/office/drawing/2014/chart" uri="{C3380CC4-5D6E-409C-BE32-E72D297353CC}">
              <c16:uniqueId val="{00000000-3329-419E-9023-3DEB569F18FB}"/>
            </c:ext>
          </c:extLst>
        </c:ser>
        <c:dLbls>
          <c:dLblPos val="outEnd"/>
          <c:showLegendKey val="0"/>
          <c:showVal val="1"/>
          <c:showCatName val="0"/>
          <c:showSerName val="0"/>
          <c:showPercent val="0"/>
          <c:showBubbleSize val="0"/>
        </c:dLbls>
        <c:gapWidth val="219"/>
        <c:overlap val="-27"/>
        <c:axId val="574098344"/>
        <c:axId val="574100312"/>
      </c:barChart>
      <c:catAx>
        <c:axId val="574098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100312"/>
        <c:crosses val="autoZero"/>
        <c:auto val="1"/>
        <c:lblAlgn val="ctr"/>
        <c:lblOffset val="100"/>
        <c:noMultiLvlLbl val="0"/>
      </c:catAx>
      <c:valAx>
        <c:axId val="57410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098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accent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DATA ENTRY APPLICATION.xlsm]PIVOT TABLE!Province_PV</c:name>
    <c:fmtId val="3"/>
  </c:pivotSource>
  <c:chart>
    <c:title>
      <c:tx>
        <c:rich>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r>
              <a:rPr lang="en-US" b="1" u="sng"/>
              <a:t>PROVINCE BASED ENROLLMENT</a:t>
            </a:r>
          </a:p>
        </c:rich>
      </c:tx>
      <c:overlay val="0"/>
      <c:spPr>
        <a:noFill/>
        <a:ln>
          <a:noFill/>
        </a:ln>
        <a:effectLst/>
      </c:spPr>
      <c:txPr>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TABLE'!$F$3</c:f>
              <c:strCache>
                <c:ptCount val="1"/>
                <c:pt idx="0">
                  <c:v>Total</c:v>
                </c:pt>
              </c:strCache>
            </c:strRef>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TABLE'!$E$4:$E$8</c:f>
              <c:strCache>
                <c:ptCount val="4"/>
                <c:pt idx="0">
                  <c:v>South</c:v>
                </c:pt>
                <c:pt idx="1">
                  <c:v>North</c:v>
                </c:pt>
                <c:pt idx="2">
                  <c:v>West</c:v>
                </c:pt>
                <c:pt idx="3">
                  <c:v>EAST</c:v>
                </c:pt>
              </c:strCache>
            </c:strRef>
          </c:cat>
          <c:val>
            <c:numRef>
              <c:f>'PIVOT TABLE'!$F$4:$F$8</c:f>
              <c:numCache>
                <c:formatCode>General</c:formatCode>
                <c:ptCount val="4"/>
                <c:pt idx="0">
                  <c:v>5</c:v>
                </c:pt>
                <c:pt idx="1">
                  <c:v>6</c:v>
                </c:pt>
                <c:pt idx="2">
                  <c:v>7</c:v>
                </c:pt>
                <c:pt idx="3">
                  <c:v>10</c:v>
                </c:pt>
              </c:numCache>
            </c:numRef>
          </c:val>
          <c:extLst>
            <c:ext xmlns:c16="http://schemas.microsoft.com/office/drawing/2014/chart" uri="{C3380CC4-5D6E-409C-BE32-E72D297353CC}">
              <c16:uniqueId val="{00000000-04FA-41FC-A365-F0643AE57D6F}"/>
            </c:ext>
          </c:extLst>
        </c:ser>
        <c:dLbls>
          <c:dLblPos val="outEnd"/>
          <c:showLegendKey val="0"/>
          <c:showVal val="1"/>
          <c:showCatName val="0"/>
          <c:showSerName val="0"/>
          <c:showPercent val="0"/>
          <c:showBubbleSize val="0"/>
        </c:dLbls>
        <c:gapWidth val="182"/>
        <c:axId val="658168464"/>
        <c:axId val="658172400"/>
      </c:barChart>
      <c:catAx>
        <c:axId val="6581684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172400"/>
        <c:crosses val="autoZero"/>
        <c:auto val="1"/>
        <c:lblAlgn val="ctr"/>
        <c:lblOffset val="100"/>
        <c:noMultiLvlLbl val="0"/>
      </c:catAx>
      <c:valAx>
        <c:axId val="6581724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168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accent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DATA ENTRY APPLICATION.xlsm]PIVOT TABLE!PivotTable3</c:name>
    <c:fmtId val="6"/>
  </c:pivotSource>
  <c:chart>
    <c:title>
      <c:tx>
        <c:rich>
          <a:bodyPr rot="0" spcFirstLastPara="1" vertOverflow="ellipsis" vert="horz" wrap="square" anchor="ctr" anchorCtr="1"/>
          <a:lstStyle/>
          <a:p>
            <a:pPr>
              <a:defRPr sz="1440" b="1" i="0" u="sng" strike="noStrike" kern="1200" spc="0" baseline="0">
                <a:solidFill>
                  <a:schemeClr val="tx1">
                    <a:lumMod val="65000"/>
                    <a:lumOff val="35000"/>
                  </a:schemeClr>
                </a:solidFill>
                <a:latin typeface="Century Gothic" panose="020B0502020202020204" pitchFamily="34" charset="0"/>
                <a:ea typeface="+mn-ea"/>
                <a:cs typeface="+mn-cs"/>
              </a:defRPr>
            </a:pPr>
            <a:r>
              <a:rPr lang="en-US" b="1" u="sng"/>
              <a:t>CIVIL STATUS BASED ENROLLMENT</a:t>
            </a:r>
          </a:p>
        </c:rich>
      </c:tx>
      <c:overlay val="0"/>
      <c:spPr>
        <a:noFill/>
        <a:ln>
          <a:noFill/>
        </a:ln>
        <a:effectLst/>
      </c:spPr>
      <c:txPr>
        <a:bodyPr rot="0" spcFirstLastPara="1" vertOverflow="ellipsis" vert="horz" wrap="square" anchor="ctr" anchorCtr="1"/>
        <a:lstStyle/>
        <a:p>
          <a:pPr>
            <a:defRPr sz="1440" b="1" i="0" u="sng" strike="noStrike" kern="1200" spc="0" baseline="0">
              <a:solidFill>
                <a:schemeClr val="tx1">
                  <a:lumMod val="65000"/>
                  <a:lumOff val="35000"/>
                </a:schemeClr>
              </a:solidFill>
              <a:latin typeface="Century Gothic" panose="020B0502020202020204" pitchFamily="34"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lgn="ctr">
                <a:defRPr sz="1200" b="0" i="0" u="none" strike="noStrike" kern="1200" baseline="0">
                  <a:solidFill>
                    <a:schemeClr val="bg1"/>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50000"/>
            </a:schemeClr>
          </a:solidFill>
          <a:ln w="19050">
            <a:solidFill>
              <a:schemeClr val="lt1"/>
            </a:solidFill>
          </a:ln>
          <a:effectLst/>
        </c:spPr>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lgn="ctr">
                <a:defRPr sz="1200" b="0" i="0" u="none" strike="noStrike" kern="1200" baseline="0">
                  <a:solidFill>
                    <a:schemeClr val="bg1"/>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50000"/>
            </a:schemeClr>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lgn="ctr">
                <a:defRPr sz="1200" b="0" i="0" u="none" strike="noStrike" kern="1200" baseline="0">
                  <a:solidFill>
                    <a:schemeClr val="bg1"/>
                  </a:solidFill>
                  <a:latin typeface="Century Gothic" panose="020B0502020202020204" pitchFamily="34" charset="0"/>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2">
              <a:lumMod val="50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Century Gothic" panose="020B0502020202020204" pitchFamily="34" charset="0"/>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9"/>
        <c:spPr>
          <a:solidFill>
            <a:schemeClr val="accent2">
              <a:lumMod val="50000"/>
            </a:schemeClr>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'PIVOT TABLE'!$F$15</c:f>
              <c:strCache>
                <c:ptCount val="1"/>
                <c:pt idx="0">
                  <c:v>Total</c:v>
                </c:pt>
              </c:strCache>
            </c:strRef>
          </c:tx>
          <c:dPt>
            <c:idx val="0"/>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01-46ED-46C9-959E-0570A620593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6ED-46C9-959E-0570A6205935}"/>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Century Gothic" panose="020B0502020202020204" pitchFamily="34" charset="0"/>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TABLE'!$E$16:$E$18</c:f>
              <c:strCache>
                <c:ptCount val="2"/>
                <c:pt idx="0">
                  <c:v>SINGLE</c:v>
                </c:pt>
                <c:pt idx="1">
                  <c:v>Married</c:v>
                </c:pt>
              </c:strCache>
            </c:strRef>
          </c:cat>
          <c:val>
            <c:numRef>
              <c:f>'PIVOT TABLE'!$F$16:$F$18</c:f>
              <c:numCache>
                <c:formatCode>General</c:formatCode>
                <c:ptCount val="2"/>
                <c:pt idx="0">
                  <c:v>19</c:v>
                </c:pt>
                <c:pt idx="1">
                  <c:v>9</c:v>
                </c:pt>
              </c:numCache>
            </c:numRef>
          </c:val>
          <c:extLst>
            <c:ext xmlns:c16="http://schemas.microsoft.com/office/drawing/2014/chart" uri="{C3380CC4-5D6E-409C-BE32-E72D297353CC}">
              <c16:uniqueId val="{00000004-46ED-46C9-959E-0570A620593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accent2">
          <a:lumMod val="75000"/>
        </a:schemeClr>
      </a:solidFill>
      <a:round/>
    </a:ln>
    <a:effectLst/>
  </c:spPr>
  <c:txPr>
    <a:bodyPr/>
    <a:lstStyle/>
    <a:p>
      <a:pPr>
        <a:defRPr sz="1200">
          <a:latin typeface="Century Gothic" panose="020B0502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DATA ENTRY APPLICATION.xlsm]PIVOT TABLE!PivotTable4</c:name>
    <c:fmtId val="4"/>
  </c:pivotSource>
  <c:chart>
    <c:title>
      <c:tx>
        <c:rich>
          <a:bodyPr rot="0" spcFirstLastPara="1" vertOverflow="ellipsis" vert="horz" wrap="square" anchor="ctr" anchorCtr="1"/>
          <a:lstStyle/>
          <a:p>
            <a:pPr>
              <a:defRPr sz="1400" b="1" i="0" u="sng" strike="noStrike" kern="1200" spc="0" baseline="0">
                <a:solidFill>
                  <a:schemeClr val="tx1">
                    <a:lumMod val="65000"/>
                    <a:lumOff val="35000"/>
                  </a:schemeClr>
                </a:solidFill>
                <a:latin typeface="Century Gothic" panose="020B0502020202020204" pitchFamily="34" charset="0"/>
                <a:ea typeface="+mn-ea"/>
                <a:cs typeface="+mn-cs"/>
              </a:defRPr>
            </a:pPr>
            <a:r>
              <a:rPr lang="en-US" b="1" u="sng">
                <a:latin typeface="Century Gothic" panose="020B0502020202020204" pitchFamily="34" charset="0"/>
              </a:rPr>
              <a:t>GENDER BASED ENROLLMENT</a:t>
            </a:r>
          </a:p>
        </c:rich>
      </c:tx>
      <c:overlay val="0"/>
      <c:spPr>
        <a:noFill/>
        <a:ln>
          <a:noFill/>
        </a:ln>
        <a:effectLst/>
      </c:spPr>
      <c:txPr>
        <a:bodyPr rot="0" spcFirstLastPara="1" vertOverflow="ellipsis" vert="horz" wrap="square" anchor="ctr" anchorCtr="1"/>
        <a:lstStyle/>
        <a:p>
          <a:pPr>
            <a:defRPr sz="1400" b="1" i="0" u="sng" strike="noStrike" kern="1200" spc="0" baseline="0">
              <a:solidFill>
                <a:schemeClr val="tx1">
                  <a:lumMod val="65000"/>
                  <a:lumOff val="35000"/>
                </a:schemeClr>
              </a:solidFill>
              <a:latin typeface="Century Gothic" panose="020B0502020202020204" pitchFamily="34" charset="0"/>
              <a:ea typeface="+mn-ea"/>
              <a:cs typeface="+mn-cs"/>
            </a:defRPr>
          </a:pPr>
          <a:endParaRPr lang="en-US"/>
        </a:p>
      </c:txPr>
    </c:title>
    <c:autoTitleDeleted val="0"/>
    <c:pivotFmts>
      <c:pivotFmt>
        <c:idx val="0"/>
        <c:spPr>
          <a:solidFill>
            <a:schemeClr val="accent2">
              <a:lumMod val="5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2">
              <a:lumMod val="5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50000"/>
            </a:schemeClr>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2">
              <a:lumMod val="5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Century Gothic" panose="020B0502020202020204" pitchFamily="34" charset="0"/>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2">
              <a:lumMod val="50000"/>
            </a:schemeClr>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'PIVOT TABLE'!$J$3</c:f>
              <c:strCache>
                <c:ptCount val="1"/>
                <c:pt idx="0">
                  <c:v>Total</c:v>
                </c:pt>
              </c:strCache>
            </c:strRef>
          </c:tx>
          <c:spPr>
            <a:solidFill>
              <a:schemeClr val="accent2">
                <a:lumMod val="50000"/>
              </a:schemeClr>
            </a:solidFill>
          </c:spPr>
          <c:dPt>
            <c:idx val="0"/>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01-3673-45E9-B82D-7B3486120C9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673-45E9-B82D-7B3486120C9F}"/>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Century Gothic" panose="020B0502020202020204" pitchFamily="34" charset="0"/>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TABLE'!$I$4:$I$6</c:f>
              <c:strCache>
                <c:ptCount val="2"/>
                <c:pt idx="0">
                  <c:v>FEMALE</c:v>
                </c:pt>
                <c:pt idx="1">
                  <c:v>Male</c:v>
                </c:pt>
              </c:strCache>
            </c:strRef>
          </c:cat>
          <c:val>
            <c:numRef>
              <c:f>'PIVOT TABLE'!$J$4:$J$6</c:f>
              <c:numCache>
                <c:formatCode>General</c:formatCode>
                <c:ptCount val="2"/>
                <c:pt idx="0">
                  <c:v>17</c:v>
                </c:pt>
                <c:pt idx="1">
                  <c:v>11</c:v>
                </c:pt>
              </c:numCache>
            </c:numRef>
          </c:val>
          <c:extLst>
            <c:ext xmlns:c16="http://schemas.microsoft.com/office/drawing/2014/chart" uri="{C3380CC4-5D6E-409C-BE32-E72D297353CC}">
              <c16:uniqueId val="{00000004-3673-45E9-B82D-7B3486120C9F}"/>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accent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DATA ENTRY APPLICATION.xlsm]PIVOT TABLE!PivotTable5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RELIGION BASED ENROLLMENT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50000"/>
            </a:schemeClr>
          </a:solidFill>
          <a:ln w="19050">
            <a:solidFill>
              <a:schemeClr val="lt1"/>
            </a:solidFill>
          </a:ln>
          <a:effectLst/>
        </c:spPr>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50000"/>
            </a:schemeClr>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Century Gothic" panose="020B0502020202020204" pitchFamily="34" charset="0"/>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2">
              <a:lumMod val="50000"/>
            </a:schemeClr>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'PIVOT TABLE'!$J$15</c:f>
              <c:strCache>
                <c:ptCount val="1"/>
                <c:pt idx="0">
                  <c:v>Total</c:v>
                </c:pt>
              </c:strCache>
            </c:strRef>
          </c:tx>
          <c:dPt>
            <c:idx val="0"/>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01-CFFD-406A-B7C6-800A19541F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FFD-406A-B7C6-800A19541FB2}"/>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Century Gothic" panose="020B0502020202020204" pitchFamily="34" charset="0"/>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TABLE'!$I$16:$I$18</c:f>
              <c:strCache>
                <c:ptCount val="2"/>
                <c:pt idx="0">
                  <c:v>ISLAM</c:v>
                </c:pt>
                <c:pt idx="1">
                  <c:v>CHRISTIAN</c:v>
                </c:pt>
              </c:strCache>
            </c:strRef>
          </c:cat>
          <c:val>
            <c:numRef>
              <c:f>'PIVOT TABLE'!$J$16:$J$18</c:f>
              <c:numCache>
                <c:formatCode>General</c:formatCode>
                <c:ptCount val="2"/>
                <c:pt idx="0">
                  <c:v>15</c:v>
                </c:pt>
                <c:pt idx="1">
                  <c:v>13</c:v>
                </c:pt>
              </c:numCache>
            </c:numRef>
          </c:val>
          <c:extLst>
            <c:ext xmlns:c16="http://schemas.microsoft.com/office/drawing/2014/chart" uri="{C3380CC4-5D6E-409C-BE32-E72D297353CC}">
              <c16:uniqueId val="{00000004-CFFD-406A-B7C6-800A19541FB2}"/>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accent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DATA ENTRY APPLICATION.xlsm]PIVOT TABLE!PivotTable6</c:name>
    <c:fmtId val="9"/>
  </c:pivotSource>
  <c:chart>
    <c:title>
      <c:tx>
        <c:rich>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r>
              <a:rPr lang="en-US" b="1" u="sng"/>
              <a:t>COURSE BASED ENROLLMENT</a:t>
            </a:r>
          </a:p>
        </c:rich>
      </c:tx>
      <c:overlay val="0"/>
      <c:spPr>
        <a:noFill/>
        <a:ln>
          <a:noFill/>
        </a:ln>
        <a:effectLst/>
      </c:spPr>
      <c:txPr>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50000"/>
            </a:schemeClr>
          </a:solidFill>
          <a:ln>
            <a:noFill/>
          </a:ln>
          <a:effectLst/>
        </c:spPr>
        <c:dLbl>
          <c:idx val="0"/>
          <c:layout>
            <c:manualLayout>
              <c:x val="0"/>
              <c:y val="-0.34722222222222221"/>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50000"/>
            </a:schemeClr>
          </a:solidFill>
          <a:ln>
            <a:noFill/>
          </a:ln>
          <a:effectLst/>
        </c:spPr>
        <c:dLbl>
          <c:idx val="0"/>
          <c:layout>
            <c:manualLayout>
              <c:x val="-2.7777777777778286E-3"/>
              <c:y val="-0.26388888888888895"/>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50000"/>
            </a:schemeClr>
          </a:solidFill>
          <a:ln>
            <a:noFill/>
          </a:ln>
          <a:effectLst/>
        </c:spPr>
        <c:dLbl>
          <c:idx val="0"/>
          <c:layout>
            <c:manualLayout>
              <c:x val="-2.7777777777777779E-3"/>
              <c:y val="-0.18055555555555564"/>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lumMod val="50000"/>
            </a:schemeClr>
          </a:solidFill>
          <a:ln>
            <a:noFill/>
          </a:ln>
          <a:effectLst/>
        </c:spPr>
        <c:dLbl>
          <c:idx val="0"/>
          <c:layout>
            <c:manualLayout>
              <c:x val="-1.0185067526415994E-16"/>
              <c:y val="-0.15277777777777768"/>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lumMod val="50000"/>
            </a:schemeClr>
          </a:solidFill>
          <a:ln>
            <a:noFill/>
          </a:ln>
          <a:effectLst/>
        </c:spPr>
        <c:dLbl>
          <c:idx val="0"/>
          <c:layout>
            <c:manualLayout>
              <c:x val="0"/>
              <c:y val="-0.34722222222222221"/>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lumMod val="50000"/>
            </a:schemeClr>
          </a:solidFill>
          <a:ln>
            <a:noFill/>
          </a:ln>
          <a:effectLst/>
        </c:spPr>
        <c:dLbl>
          <c:idx val="0"/>
          <c:layout>
            <c:manualLayout>
              <c:x val="-2.7777777777778286E-3"/>
              <c:y val="-0.26388888888888895"/>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50000"/>
            </a:schemeClr>
          </a:solidFill>
          <a:ln>
            <a:noFill/>
          </a:ln>
          <a:effectLst/>
        </c:spPr>
        <c:dLbl>
          <c:idx val="0"/>
          <c:layout>
            <c:manualLayout>
              <c:x val="-2.7777777777777779E-3"/>
              <c:y val="-0.18055555555555564"/>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lumMod val="50000"/>
            </a:schemeClr>
          </a:solidFill>
          <a:ln>
            <a:noFill/>
          </a:ln>
          <a:effectLst/>
        </c:spPr>
        <c:dLbl>
          <c:idx val="0"/>
          <c:layout>
            <c:manualLayout>
              <c:x val="-1.0185067526415994E-16"/>
              <c:y val="-0.15277777777777768"/>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lumMod val="50000"/>
            </a:schemeClr>
          </a:solidFill>
          <a:ln>
            <a:noFill/>
          </a:ln>
          <a:effectLst/>
        </c:spPr>
        <c:dLbl>
          <c:idx val="0"/>
          <c:layout>
            <c:manualLayout>
              <c:x val="0"/>
              <c:y val="-0.34722222222222221"/>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lumMod val="50000"/>
            </a:schemeClr>
          </a:solidFill>
          <a:ln>
            <a:noFill/>
          </a:ln>
          <a:effectLst/>
        </c:spPr>
        <c:dLbl>
          <c:idx val="0"/>
          <c:layout>
            <c:manualLayout>
              <c:x val="-2.7777777777778286E-3"/>
              <c:y val="-0.26388888888888895"/>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50000"/>
            </a:schemeClr>
          </a:solidFill>
          <a:ln>
            <a:noFill/>
          </a:ln>
          <a:effectLst/>
        </c:spPr>
        <c:dLbl>
          <c:idx val="0"/>
          <c:layout>
            <c:manualLayout>
              <c:x val="-2.7777777777777779E-3"/>
              <c:y val="-0.18055555555555564"/>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lumMod val="50000"/>
            </a:schemeClr>
          </a:solidFill>
          <a:ln>
            <a:noFill/>
          </a:ln>
          <a:effectLst/>
        </c:spPr>
        <c:dLbl>
          <c:idx val="0"/>
          <c:layout>
            <c:manualLayout>
              <c:x val="-1.0185067526415994E-16"/>
              <c:y val="-0.15277777777777768"/>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TABLE'!$B$25</c:f>
              <c:strCache>
                <c:ptCount val="1"/>
                <c:pt idx="0">
                  <c:v>Total</c:v>
                </c:pt>
              </c:strCache>
            </c:strRef>
          </c:tx>
          <c:spPr>
            <a:solidFill>
              <a:schemeClr val="accent2">
                <a:lumMod val="50000"/>
              </a:schemeClr>
            </a:solidFill>
            <a:ln>
              <a:noFill/>
            </a:ln>
            <a:effectLst/>
          </c:spPr>
          <c:invertIfNegative val="0"/>
          <c:dPt>
            <c:idx val="0"/>
            <c:invertIfNegative val="0"/>
            <c:bubble3D val="0"/>
            <c:spPr>
              <a:solidFill>
                <a:schemeClr val="accent2">
                  <a:lumMod val="50000"/>
                </a:schemeClr>
              </a:solidFill>
              <a:ln>
                <a:noFill/>
              </a:ln>
              <a:effectLst/>
            </c:spPr>
            <c:extLst>
              <c:ext xmlns:c16="http://schemas.microsoft.com/office/drawing/2014/chart" uri="{C3380CC4-5D6E-409C-BE32-E72D297353CC}">
                <c16:uniqueId val="{00000000-F2E7-4EEE-A6C1-E3BEEC36FD81}"/>
              </c:ext>
            </c:extLst>
          </c:dPt>
          <c:dPt>
            <c:idx val="1"/>
            <c:invertIfNegative val="0"/>
            <c:bubble3D val="0"/>
            <c:spPr>
              <a:solidFill>
                <a:schemeClr val="accent2">
                  <a:lumMod val="50000"/>
                </a:schemeClr>
              </a:solidFill>
              <a:ln>
                <a:noFill/>
              </a:ln>
              <a:effectLst/>
            </c:spPr>
            <c:extLst>
              <c:ext xmlns:c16="http://schemas.microsoft.com/office/drawing/2014/chart" uri="{C3380CC4-5D6E-409C-BE32-E72D297353CC}">
                <c16:uniqueId val="{00000001-F2E7-4EEE-A6C1-E3BEEC36FD81}"/>
              </c:ext>
            </c:extLst>
          </c:dPt>
          <c:dPt>
            <c:idx val="2"/>
            <c:invertIfNegative val="0"/>
            <c:bubble3D val="0"/>
            <c:spPr>
              <a:solidFill>
                <a:schemeClr val="accent2">
                  <a:lumMod val="50000"/>
                </a:schemeClr>
              </a:solidFill>
              <a:ln>
                <a:noFill/>
              </a:ln>
              <a:effectLst/>
            </c:spPr>
            <c:extLst>
              <c:ext xmlns:c16="http://schemas.microsoft.com/office/drawing/2014/chart" uri="{C3380CC4-5D6E-409C-BE32-E72D297353CC}">
                <c16:uniqueId val="{00000002-F2E7-4EEE-A6C1-E3BEEC36FD81}"/>
              </c:ext>
            </c:extLst>
          </c:dPt>
          <c:dPt>
            <c:idx val="3"/>
            <c:invertIfNegative val="0"/>
            <c:bubble3D val="0"/>
            <c:spPr>
              <a:solidFill>
                <a:schemeClr val="accent2">
                  <a:lumMod val="50000"/>
                </a:schemeClr>
              </a:solidFill>
              <a:ln>
                <a:noFill/>
              </a:ln>
              <a:effectLst/>
            </c:spPr>
            <c:extLst>
              <c:ext xmlns:c16="http://schemas.microsoft.com/office/drawing/2014/chart" uri="{C3380CC4-5D6E-409C-BE32-E72D297353CC}">
                <c16:uniqueId val="{00000003-F2E7-4EEE-A6C1-E3BEEC36FD81}"/>
              </c:ext>
            </c:extLst>
          </c:dPt>
          <c:dLbls>
            <c:dLbl>
              <c:idx val="0"/>
              <c:layout>
                <c:manualLayout>
                  <c:x val="0"/>
                  <c:y val="-0.3472222222222222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2E7-4EEE-A6C1-E3BEEC36FD81}"/>
                </c:ext>
              </c:extLst>
            </c:dLbl>
            <c:dLbl>
              <c:idx val="1"/>
              <c:layout>
                <c:manualLayout>
                  <c:x val="-2.7777777777778286E-3"/>
                  <c:y val="-0.2638888888888889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2E7-4EEE-A6C1-E3BEEC36FD81}"/>
                </c:ext>
              </c:extLst>
            </c:dLbl>
            <c:dLbl>
              <c:idx val="2"/>
              <c:layout>
                <c:manualLayout>
                  <c:x val="-2.7777777777777779E-3"/>
                  <c:y val="-0.1805555555555556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2E7-4EEE-A6C1-E3BEEC36FD81}"/>
                </c:ext>
              </c:extLst>
            </c:dLbl>
            <c:dLbl>
              <c:idx val="3"/>
              <c:layout>
                <c:manualLayout>
                  <c:x val="-1.0185067526415994E-16"/>
                  <c:y val="-0.1527777777777776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2E7-4EEE-A6C1-E3BEEC36FD81}"/>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TABLE'!$A$26:$A$30</c:f>
              <c:strCache>
                <c:ptCount val="4"/>
                <c:pt idx="0">
                  <c:v>FINANACE MANAGEMENT</c:v>
                </c:pt>
                <c:pt idx="1">
                  <c:v>MARKETING MANAGEMENT</c:v>
                </c:pt>
                <c:pt idx="2">
                  <c:v>HUMAN RESOURCE MANAGEMENT</c:v>
                </c:pt>
                <c:pt idx="3">
                  <c:v>IT</c:v>
                </c:pt>
              </c:strCache>
            </c:strRef>
          </c:cat>
          <c:val>
            <c:numRef>
              <c:f>'PIVOT TABLE'!$B$26:$B$30</c:f>
              <c:numCache>
                <c:formatCode>General</c:formatCode>
                <c:ptCount val="4"/>
                <c:pt idx="0">
                  <c:v>11</c:v>
                </c:pt>
                <c:pt idx="1">
                  <c:v>8</c:v>
                </c:pt>
                <c:pt idx="2">
                  <c:v>5</c:v>
                </c:pt>
                <c:pt idx="3">
                  <c:v>4</c:v>
                </c:pt>
              </c:numCache>
            </c:numRef>
          </c:val>
          <c:extLst>
            <c:ext xmlns:c16="http://schemas.microsoft.com/office/drawing/2014/chart" uri="{C3380CC4-5D6E-409C-BE32-E72D297353CC}">
              <c16:uniqueId val="{00000004-F2E7-4EEE-A6C1-E3BEEC36FD81}"/>
            </c:ext>
          </c:extLst>
        </c:ser>
        <c:dLbls>
          <c:dLblPos val="ctr"/>
          <c:showLegendKey val="0"/>
          <c:showVal val="1"/>
          <c:showCatName val="0"/>
          <c:showSerName val="0"/>
          <c:showPercent val="0"/>
          <c:showBubbleSize val="0"/>
        </c:dLbls>
        <c:gapWidth val="150"/>
        <c:overlap val="100"/>
        <c:axId val="667614896"/>
        <c:axId val="667618504"/>
      </c:barChart>
      <c:catAx>
        <c:axId val="66761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618504"/>
        <c:crosses val="autoZero"/>
        <c:auto val="1"/>
        <c:lblAlgn val="ctr"/>
        <c:lblOffset val="100"/>
        <c:noMultiLvlLbl val="0"/>
      </c:catAx>
      <c:valAx>
        <c:axId val="667618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614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accent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DATA ENTRY APPLICATION.xlsm]PIVOT TABLE!PivotTable7</c:name>
    <c:fmtId val="3"/>
  </c:pivotSource>
  <c:chart>
    <c:title>
      <c:tx>
        <c:rich>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r>
              <a:rPr lang="en-US" b="1" u="sng"/>
              <a:t>LANGUAGE BASED ENROLLMENT</a:t>
            </a:r>
          </a:p>
        </c:rich>
      </c:tx>
      <c:layout>
        <c:manualLayout>
          <c:xMode val="edge"/>
          <c:yMode val="edge"/>
          <c:x val="0.23193044619422576"/>
          <c:y val="2.3148148148148147E-2"/>
        </c:manualLayout>
      </c:layout>
      <c:overlay val="0"/>
      <c:spPr>
        <a:noFill/>
        <a:ln>
          <a:noFill/>
        </a:ln>
        <a:effectLst/>
      </c:spPr>
      <c:txPr>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2">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TABLE'!$F$25</c:f>
              <c:strCache>
                <c:ptCount val="1"/>
                <c:pt idx="0">
                  <c:v>Total</c:v>
                </c:pt>
              </c:strCache>
            </c:strRef>
          </c:tx>
          <c:spPr>
            <a:ln w="28575" cap="rnd">
              <a:solidFill>
                <a:schemeClr val="accent2">
                  <a:lumMod val="5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TABLE'!$E$26:$E$30</c:f>
              <c:strCache>
                <c:ptCount val="4"/>
                <c:pt idx="0">
                  <c:v>ENGLISH</c:v>
                </c:pt>
                <c:pt idx="1">
                  <c:v>HAUSA</c:v>
                </c:pt>
                <c:pt idx="2">
                  <c:v>IGBO</c:v>
                </c:pt>
                <c:pt idx="3">
                  <c:v>YORUBA</c:v>
                </c:pt>
              </c:strCache>
            </c:strRef>
          </c:cat>
          <c:val>
            <c:numRef>
              <c:f>'PIVOT TABLE'!$F$26:$F$30</c:f>
              <c:numCache>
                <c:formatCode>General</c:formatCode>
                <c:ptCount val="4"/>
                <c:pt idx="0">
                  <c:v>15</c:v>
                </c:pt>
                <c:pt idx="1">
                  <c:v>2</c:v>
                </c:pt>
                <c:pt idx="2">
                  <c:v>6</c:v>
                </c:pt>
                <c:pt idx="3">
                  <c:v>5</c:v>
                </c:pt>
              </c:numCache>
            </c:numRef>
          </c:val>
          <c:smooth val="0"/>
          <c:extLst>
            <c:ext xmlns:c16="http://schemas.microsoft.com/office/drawing/2014/chart" uri="{C3380CC4-5D6E-409C-BE32-E72D297353CC}">
              <c16:uniqueId val="{00000000-10A7-4F0C-8FE1-BF5BC3DD26C2}"/>
            </c:ext>
          </c:extLst>
        </c:ser>
        <c:dLbls>
          <c:dLblPos val="t"/>
          <c:showLegendKey val="0"/>
          <c:showVal val="1"/>
          <c:showCatName val="0"/>
          <c:showSerName val="0"/>
          <c:showPercent val="0"/>
          <c:showBubbleSize val="0"/>
        </c:dLbls>
        <c:smooth val="0"/>
        <c:axId val="655959384"/>
        <c:axId val="655959712"/>
      </c:lineChart>
      <c:catAx>
        <c:axId val="655959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9712"/>
        <c:crosses val="autoZero"/>
        <c:auto val="1"/>
        <c:lblAlgn val="ctr"/>
        <c:lblOffset val="100"/>
        <c:noMultiLvlLbl val="0"/>
      </c:catAx>
      <c:valAx>
        <c:axId val="655959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9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accent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98613</xdr:colOff>
      <xdr:row>19</xdr:row>
      <xdr:rowOff>62752</xdr:rowOff>
    </xdr:from>
    <xdr:to>
      <xdr:col>2</xdr:col>
      <xdr:colOff>457201</xdr:colOff>
      <xdr:row>21</xdr:row>
      <xdr:rowOff>71717</xdr:rowOff>
    </xdr:to>
    <xdr:sp macro="" textlink="">
      <xdr:nvSpPr>
        <xdr:cNvPr id="2" name="Rounded Rectangle 1">
          <a:extLst>
            <a:ext uri="{FF2B5EF4-FFF2-40B4-BE49-F238E27FC236}">
              <a16:creationId xmlns:a16="http://schemas.microsoft.com/office/drawing/2014/main" id="{00000000-0008-0000-0000-000002000000}"/>
            </a:ext>
          </a:extLst>
        </xdr:cNvPr>
        <xdr:cNvSpPr/>
      </xdr:nvSpPr>
      <xdr:spPr>
        <a:xfrm>
          <a:off x="439272" y="6535270"/>
          <a:ext cx="2268070" cy="555812"/>
        </a:xfrm>
        <a:prstGeom prst="roundRect">
          <a:avLst/>
        </a:prstGeom>
        <a:solidFill>
          <a:srgbClr val="CC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solidFill>
              <a:latin typeface="Times New Roman" panose="02020603050405020304" pitchFamily="18" charset="0"/>
              <a:cs typeface="Times New Roman" panose="02020603050405020304" pitchFamily="18" charset="0"/>
            </a:rPr>
            <a:t>RESET</a:t>
          </a:r>
        </a:p>
      </xdr:txBody>
    </xdr:sp>
    <xdr:clientData/>
  </xdr:twoCellAnchor>
  <xdr:twoCellAnchor>
    <xdr:from>
      <xdr:col>2</xdr:col>
      <xdr:colOff>788894</xdr:colOff>
      <xdr:row>19</xdr:row>
      <xdr:rowOff>62753</xdr:rowOff>
    </xdr:from>
    <xdr:to>
      <xdr:col>2</xdr:col>
      <xdr:colOff>3056964</xdr:colOff>
      <xdr:row>21</xdr:row>
      <xdr:rowOff>71718</xdr:rowOff>
    </xdr:to>
    <xdr:sp macro="[0]!SUBMIT" textlink="">
      <xdr:nvSpPr>
        <xdr:cNvPr id="5" name="Rounded Rectangle 4">
          <a:extLst>
            <a:ext uri="{FF2B5EF4-FFF2-40B4-BE49-F238E27FC236}">
              <a16:creationId xmlns:a16="http://schemas.microsoft.com/office/drawing/2014/main" id="{00000000-0008-0000-0000-000005000000}"/>
            </a:ext>
          </a:extLst>
        </xdr:cNvPr>
        <xdr:cNvSpPr/>
      </xdr:nvSpPr>
      <xdr:spPr>
        <a:xfrm>
          <a:off x="3039035" y="6535271"/>
          <a:ext cx="2268070" cy="55581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solidFill>
              <a:latin typeface="Times New Roman" panose="02020603050405020304" pitchFamily="18" charset="0"/>
              <a:cs typeface="Times New Roman" panose="02020603050405020304" pitchFamily="18" charset="0"/>
            </a:rPr>
            <a:t>SUBMIT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45720</xdr:colOff>
      <xdr:row>0</xdr:row>
      <xdr:rowOff>30480</xdr:rowOff>
    </xdr:from>
    <xdr:to>
      <xdr:col>0</xdr:col>
      <xdr:colOff>1394460</xdr:colOff>
      <xdr:row>3</xdr:row>
      <xdr:rowOff>99060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720" y="30480"/>
          <a:ext cx="1348740" cy="868680"/>
        </a:xfrm>
        <a:prstGeom prst="rect">
          <a:avLst/>
        </a:prstGeom>
        <a:ln w="38100" cap="sq">
          <a:solidFill>
            <a:schemeClr val="accent2">
              <a:lumMod val="75000"/>
            </a:schemeClr>
          </a:solidFill>
          <a:prstDash val="solid"/>
          <a:miter lim="800000"/>
        </a:ln>
        <a:effectLst>
          <a:outerShdw blurRad="50800" dist="38100" dir="2700000" algn="tl" rotWithShape="0">
            <a:srgbClr val="000000">
              <a:alpha val="43000"/>
            </a:srgbClr>
          </a:outerShdw>
        </a:effectLst>
      </xdr:spPr>
    </xdr:pic>
    <xdr:clientData/>
  </xdr:twoCellAnchor>
  <xdr:twoCellAnchor>
    <xdr:from>
      <xdr:col>0</xdr:col>
      <xdr:colOff>106680</xdr:colOff>
      <xdr:row>33</xdr:row>
      <xdr:rowOff>152400</xdr:rowOff>
    </xdr:from>
    <xdr:to>
      <xdr:col>2</xdr:col>
      <xdr:colOff>388620</xdr:colOff>
      <xdr:row>36</xdr:row>
      <xdr:rowOff>60960</xdr:rowOff>
    </xdr:to>
    <xdr:sp macro="[0]!Macro6" textlink="">
      <xdr:nvSpPr>
        <xdr:cNvPr id="5" name="Rounded Rectangle 4">
          <a:extLst>
            <a:ext uri="{FF2B5EF4-FFF2-40B4-BE49-F238E27FC236}">
              <a16:creationId xmlns:a16="http://schemas.microsoft.com/office/drawing/2014/main" id="{00000000-0008-0000-0200-000005000000}"/>
            </a:ext>
          </a:extLst>
        </xdr:cNvPr>
        <xdr:cNvSpPr/>
      </xdr:nvSpPr>
      <xdr:spPr>
        <a:xfrm>
          <a:off x="106680" y="6926580"/>
          <a:ext cx="2316480" cy="457200"/>
        </a:xfrm>
        <a:prstGeom prst="roundRect">
          <a:avLst/>
        </a:prstGeom>
        <a:solidFill>
          <a:srgbClr val="CC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bg1"/>
              </a:solidFill>
              <a:latin typeface="Times New Roman" panose="02020603050405020304" pitchFamily="18" charset="0"/>
              <a:ea typeface="+mn-ea"/>
              <a:cs typeface="Times New Roman" panose="02020603050405020304" pitchFamily="18" charset="0"/>
            </a:rPr>
            <a:t>RESET</a:t>
          </a:r>
        </a:p>
      </xdr:txBody>
    </xdr:sp>
    <xdr:clientData/>
  </xdr:twoCellAnchor>
  <xdr:twoCellAnchor>
    <xdr:from>
      <xdr:col>4</xdr:col>
      <xdr:colOff>22860</xdr:colOff>
      <xdr:row>33</xdr:row>
      <xdr:rowOff>129540</xdr:rowOff>
    </xdr:from>
    <xdr:to>
      <xdr:col>7</xdr:col>
      <xdr:colOff>510540</xdr:colOff>
      <xdr:row>36</xdr:row>
      <xdr:rowOff>38100</xdr:rowOff>
    </xdr:to>
    <xdr:sp macro="[0]!APP_Print" textlink="">
      <xdr:nvSpPr>
        <xdr:cNvPr id="6" name="Rounded Rectangle 5">
          <a:extLst>
            <a:ext uri="{FF2B5EF4-FFF2-40B4-BE49-F238E27FC236}">
              <a16:creationId xmlns:a16="http://schemas.microsoft.com/office/drawing/2014/main" id="{00000000-0008-0000-0200-000006000000}"/>
            </a:ext>
          </a:extLst>
        </xdr:cNvPr>
        <xdr:cNvSpPr/>
      </xdr:nvSpPr>
      <xdr:spPr>
        <a:xfrm>
          <a:off x="3276600" y="6903720"/>
          <a:ext cx="2316480" cy="4572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bg1"/>
              </a:solidFill>
              <a:latin typeface="Times New Roman" panose="02020603050405020304" pitchFamily="18" charset="0"/>
              <a:ea typeface="+mn-ea"/>
              <a:cs typeface="Times New Roman" panose="02020603050405020304" pitchFamily="18" charset="0"/>
            </a:rPr>
            <a:t>PRINT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53340</xdr:colOff>
      <xdr:row>24</xdr:row>
      <xdr:rowOff>45720</xdr:rowOff>
    </xdr:from>
    <xdr:to>
      <xdr:col>11</xdr:col>
      <xdr:colOff>38100</xdr:colOff>
      <xdr:row>27</xdr:row>
      <xdr:rowOff>91440</xdr:rowOff>
    </xdr:to>
    <xdr:sp macro="" textlink="">
      <xdr:nvSpPr>
        <xdr:cNvPr id="10" name="Rounded Rectangle 9">
          <a:extLst>
            <a:ext uri="{FF2B5EF4-FFF2-40B4-BE49-F238E27FC236}">
              <a16:creationId xmlns:a16="http://schemas.microsoft.com/office/drawing/2014/main" id="{00000000-0008-0000-0300-00000A000000}"/>
            </a:ext>
          </a:extLst>
        </xdr:cNvPr>
        <xdr:cNvSpPr/>
      </xdr:nvSpPr>
      <xdr:spPr>
        <a:xfrm>
          <a:off x="6438900" y="4434840"/>
          <a:ext cx="2567940" cy="594360"/>
        </a:xfrm>
        <a:prstGeom prst="roundRect">
          <a:avLst/>
        </a:prstGeom>
        <a:solidFill>
          <a:schemeClr val="accent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500" b="1">
              <a:solidFill>
                <a:schemeClr val="bg1"/>
              </a:solidFill>
              <a:latin typeface="Times New Roman" panose="02020603050405020304" pitchFamily="18" charset="0"/>
              <a:ea typeface="+mn-ea"/>
              <a:cs typeface="Times New Roman" panose="02020603050405020304" pitchFamily="18" charset="0"/>
            </a:rPr>
            <a:t>REFRESH ALL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41909</xdr:colOff>
      <xdr:row>1</xdr:row>
      <xdr:rowOff>47625</xdr:rowOff>
    </xdr:from>
    <xdr:to>
      <xdr:col>26</xdr:col>
      <xdr:colOff>561974</xdr:colOff>
      <xdr:row>7</xdr:row>
      <xdr:rowOff>171450</xdr:rowOff>
    </xdr:to>
    <xdr:graphicFrame macro="">
      <xdr:nvGraphicFramePr>
        <xdr:cNvPr id="2" name="CITY_PC">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247650</xdr:colOff>
      <xdr:row>23</xdr:row>
      <xdr:rowOff>38100</xdr:rowOff>
    </xdr:from>
    <xdr:to>
      <xdr:col>18</xdr:col>
      <xdr:colOff>219075</xdr:colOff>
      <xdr:row>36</xdr:row>
      <xdr:rowOff>38100</xdr:rowOff>
    </xdr:to>
    <xdr:graphicFrame macro="">
      <xdr:nvGraphicFramePr>
        <xdr:cNvPr id="3" name="Province_PC">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49529</xdr:colOff>
      <xdr:row>23</xdr:row>
      <xdr:rowOff>28575</xdr:rowOff>
    </xdr:from>
    <xdr:to>
      <xdr:col>8</xdr:col>
      <xdr:colOff>142874</xdr:colOff>
      <xdr:row>36</xdr:row>
      <xdr:rowOff>38100</xdr:rowOff>
    </xdr:to>
    <xdr:graphicFrame macro="">
      <xdr:nvGraphicFramePr>
        <xdr:cNvPr id="4" name="CIVIL_PC">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257175</xdr:colOff>
      <xdr:row>8</xdr:row>
      <xdr:rowOff>91440</xdr:rowOff>
    </xdr:from>
    <xdr:to>
      <xdr:col>18</xdr:col>
      <xdr:colOff>209550</xdr:colOff>
      <xdr:row>22</xdr:row>
      <xdr:rowOff>114300</xdr:rowOff>
    </xdr:to>
    <xdr:graphicFrame macro="">
      <xdr:nvGraphicFramePr>
        <xdr:cNvPr id="5" name="Gender_PC">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314325</xdr:colOff>
      <xdr:row>23</xdr:row>
      <xdr:rowOff>28575</xdr:rowOff>
    </xdr:from>
    <xdr:to>
      <xdr:col>26</xdr:col>
      <xdr:colOff>561975</xdr:colOff>
      <xdr:row>36</xdr:row>
      <xdr:rowOff>38100</xdr:rowOff>
    </xdr:to>
    <xdr:graphicFrame macro="">
      <xdr:nvGraphicFramePr>
        <xdr:cNvPr id="6" name="RELIGION_PC">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304799</xdr:colOff>
      <xdr:row>8</xdr:row>
      <xdr:rowOff>100964</xdr:rowOff>
    </xdr:from>
    <xdr:to>
      <xdr:col>26</xdr:col>
      <xdr:colOff>561974</xdr:colOff>
      <xdr:row>22</xdr:row>
      <xdr:rowOff>114300</xdr:rowOff>
    </xdr:to>
    <xdr:graphicFrame macro="">
      <xdr:nvGraphicFramePr>
        <xdr:cNvPr id="7" name="COURSE_PC">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47625</xdr:colOff>
      <xdr:row>8</xdr:row>
      <xdr:rowOff>91439</xdr:rowOff>
    </xdr:from>
    <xdr:to>
      <xdr:col>8</xdr:col>
      <xdr:colOff>152400</xdr:colOff>
      <xdr:row>22</xdr:row>
      <xdr:rowOff>123825</xdr:rowOff>
    </xdr:to>
    <xdr:graphicFrame macro="">
      <xdr:nvGraphicFramePr>
        <xdr:cNvPr id="8" name="Language_PC">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27</xdr:col>
      <xdr:colOff>47626</xdr:colOff>
      <xdr:row>1</xdr:row>
      <xdr:rowOff>38100</xdr:rowOff>
    </xdr:from>
    <xdr:to>
      <xdr:col>29</xdr:col>
      <xdr:colOff>142876</xdr:colOff>
      <xdr:row>9</xdr:row>
      <xdr:rowOff>97155</xdr:rowOff>
    </xdr:to>
    <mc:AlternateContent xmlns:mc="http://schemas.openxmlformats.org/markup-compatibility/2006">
      <mc:Choice xmlns:a14="http://schemas.microsoft.com/office/drawing/2010/main" Requires="a14">
        <xdr:graphicFrame macro="">
          <xdr:nvGraphicFramePr>
            <xdr:cNvPr id="9" name="CITY ">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microsoft.com/office/drawing/2010/slicer">
              <sle:slicer xmlns:sle="http://schemas.microsoft.com/office/drawing/2010/slicer" name="CITY "/>
            </a:graphicData>
          </a:graphic>
        </xdr:graphicFrame>
      </mc:Choice>
      <mc:Fallback>
        <xdr:sp macro="" textlink="">
          <xdr:nvSpPr>
            <xdr:cNvPr id="0" name=""/>
            <xdr:cNvSpPr>
              <a:spLocks noTextEdit="1"/>
            </xdr:cNvSpPr>
          </xdr:nvSpPr>
          <xdr:spPr>
            <a:xfrm>
              <a:off x="16506826" y="323850"/>
              <a:ext cx="1314450" cy="15830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57151</xdr:colOff>
      <xdr:row>18</xdr:row>
      <xdr:rowOff>147162</xdr:rowOff>
    </xdr:from>
    <xdr:to>
      <xdr:col>29</xdr:col>
      <xdr:colOff>167641</xdr:colOff>
      <xdr:row>23</xdr:row>
      <xdr:rowOff>184308</xdr:rowOff>
    </xdr:to>
    <mc:AlternateContent xmlns:mc="http://schemas.openxmlformats.org/markup-compatibility/2006">
      <mc:Choice xmlns:a14="http://schemas.microsoft.com/office/drawing/2010/main" Requires="a14">
        <xdr:graphicFrame macro="">
          <xdr:nvGraphicFramePr>
            <xdr:cNvPr id="10" name="CIVIL STATUS">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microsoft.com/office/drawing/2010/slicer">
              <sle:slicer xmlns:sle="http://schemas.microsoft.com/office/drawing/2010/slicer" name="CIVIL STATUS"/>
            </a:graphicData>
          </a:graphic>
        </xdr:graphicFrame>
      </mc:Choice>
      <mc:Fallback>
        <xdr:sp macro="" textlink="">
          <xdr:nvSpPr>
            <xdr:cNvPr id="0" name=""/>
            <xdr:cNvSpPr>
              <a:spLocks noTextEdit="1"/>
            </xdr:cNvSpPr>
          </xdr:nvSpPr>
          <xdr:spPr>
            <a:xfrm>
              <a:off x="16516351" y="3671412"/>
              <a:ext cx="1329690" cy="9896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28575</xdr:colOff>
      <xdr:row>30</xdr:row>
      <xdr:rowOff>28575</xdr:rowOff>
    </xdr:from>
    <xdr:to>
      <xdr:col>29</xdr:col>
      <xdr:colOff>152400</xdr:colOff>
      <xdr:row>35</xdr:row>
      <xdr:rowOff>148590</xdr:rowOff>
    </xdr:to>
    <mc:AlternateContent xmlns:mc="http://schemas.openxmlformats.org/markup-compatibility/2006">
      <mc:Choice xmlns:a14="http://schemas.microsoft.com/office/drawing/2010/main" Requires="a14">
        <xdr:graphicFrame macro="">
          <xdr:nvGraphicFramePr>
            <xdr:cNvPr id="11" name="GENDER">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16487775" y="5838825"/>
              <a:ext cx="1343025" cy="10725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57150</xdr:colOff>
      <xdr:row>24</xdr:row>
      <xdr:rowOff>106442</xdr:rowOff>
    </xdr:from>
    <xdr:to>
      <xdr:col>29</xdr:col>
      <xdr:colOff>139065</xdr:colOff>
      <xdr:row>29</xdr:row>
      <xdr:rowOff>106441</xdr:rowOff>
    </xdr:to>
    <mc:AlternateContent xmlns:mc="http://schemas.openxmlformats.org/markup-compatibility/2006">
      <mc:Choice xmlns:a14="http://schemas.microsoft.com/office/drawing/2010/main" Requires="a14">
        <xdr:graphicFrame macro="">
          <xdr:nvGraphicFramePr>
            <xdr:cNvPr id="12" name="RELIGION">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microsoft.com/office/drawing/2010/slicer">
              <sle:slicer xmlns:sle="http://schemas.microsoft.com/office/drawing/2010/slicer" name="RELIGION"/>
            </a:graphicData>
          </a:graphic>
        </xdr:graphicFrame>
      </mc:Choice>
      <mc:Fallback>
        <xdr:sp macro="" textlink="">
          <xdr:nvSpPr>
            <xdr:cNvPr id="0" name=""/>
            <xdr:cNvSpPr>
              <a:spLocks noTextEdit="1"/>
            </xdr:cNvSpPr>
          </xdr:nvSpPr>
          <xdr:spPr>
            <a:xfrm>
              <a:off x="16516350" y="4773692"/>
              <a:ext cx="1301115" cy="952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66675</xdr:colOff>
      <xdr:row>10</xdr:row>
      <xdr:rowOff>19289</xdr:rowOff>
    </xdr:from>
    <xdr:to>
      <xdr:col>29</xdr:col>
      <xdr:colOff>167640</xdr:colOff>
      <xdr:row>18</xdr:row>
      <xdr:rowOff>34528</xdr:rowOff>
    </xdr:to>
    <mc:AlternateContent xmlns:mc="http://schemas.openxmlformats.org/markup-compatibility/2006">
      <mc:Choice xmlns:a14="http://schemas.microsoft.com/office/drawing/2010/main" Requires="a14">
        <xdr:graphicFrame macro="">
          <xdr:nvGraphicFramePr>
            <xdr:cNvPr id="13" name="COURSE NAME">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microsoft.com/office/drawing/2010/slicer">
              <sle:slicer xmlns:sle="http://schemas.microsoft.com/office/drawing/2010/slicer" name="COURSE NAME"/>
            </a:graphicData>
          </a:graphic>
        </xdr:graphicFrame>
      </mc:Choice>
      <mc:Fallback>
        <xdr:sp macro="" textlink="">
          <xdr:nvSpPr>
            <xdr:cNvPr id="0" name=""/>
            <xdr:cNvSpPr>
              <a:spLocks noTextEdit="1"/>
            </xdr:cNvSpPr>
          </xdr:nvSpPr>
          <xdr:spPr>
            <a:xfrm>
              <a:off x="16525875" y="2019539"/>
              <a:ext cx="1320165" cy="15392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luwaseun Aina" refreshedDate="45384.479249305557" createdVersion="6" refreshedVersion="6" minRefreshableVersion="3" recordCount="28" xr:uid="{00000000-000A-0000-FFFF-FFFF08000000}">
  <cacheSource type="worksheet">
    <worksheetSource name="Table2"/>
  </cacheSource>
  <cacheFields count="15">
    <cacheField name="ROLL NO" numFmtId="0">
      <sharedItems containsSemiMixedTypes="0" containsString="0" containsNumber="1" containsInteger="1" minValue="10001" maxValue="10028"/>
    </cacheField>
    <cacheField name="FULL NAME" numFmtId="0">
      <sharedItems/>
    </cacheField>
    <cacheField name="ADDRESS" numFmtId="0">
      <sharedItems/>
    </cacheField>
    <cacheField name="CITY " numFmtId="0">
      <sharedItems count="14">
        <s v="LAGOS"/>
        <s v="New York"/>
        <s v="Chicago"/>
        <s v="San Francisco"/>
        <s v="Boston"/>
        <s v="Seattle"/>
        <s v="Phoenix"/>
        <s v="Dallas"/>
        <s v="Miami"/>
        <s v="Atlanta"/>
        <s v="Philadelphia"/>
        <s v="Denver"/>
        <s v="Houston"/>
        <s v="Detroit"/>
      </sharedItems>
    </cacheField>
    <cacheField name="ZIP CODE" numFmtId="0">
      <sharedItems containsSemiMixedTypes="0" containsString="0" containsNumber="1" containsInteger="1" minValue="123456" maxValue="987654"/>
    </cacheField>
    <cacheField name="PROVINCE" numFmtId="0">
      <sharedItems count="4">
        <s v="EAST"/>
        <s v="West"/>
        <s v="North"/>
        <s v="South"/>
      </sharedItems>
    </cacheField>
    <cacheField name="EMAIL" numFmtId="0">
      <sharedItems/>
    </cacheField>
    <cacheField name="CIVIL STATUS" numFmtId="0">
      <sharedItems count="2">
        <s v="SINGLE"/>
        <s v="Married"/>
      </sharedItems>
    </cacheField>
    <cacheField name="GENDER" numFmtId="0">
      <sharedItems count="2">
        <s v="FEMALE"/>
        <s v="Male"/>
      </sharedItems>
    </cacheField>
    <cacheField name="RELIGION" numFmtId="0">
      <sharedItems count="2">
        <s v="ISLAM"/>
        <s v="CHRISTIAN"/>
      </sharedItems>
    </cacheField>
    <cacheField name="PHONE NO" numFmtId="0">
      <sharedItems containsSemiMixedTypes="0" containsString="0" containsNumber="1" containsInteger="1" minValue="123456789" maxValue="987654321"/>
    </cacheField>
    <cacheField name="DATE OF BIRTH" numFmtId="164">
      <sharedItems containsDate="1" containsMixedTypes="1" minDate="1995-03-02T00:00:00" maxDate="1995-03-03T00:00:00"/>
    </cacheField>
    <cacheField name="COURSE NAME" numFmtId="0">
      <sharedItems count="4">
        <s v="MARKETING MANAGEMENT"/>
        <s v="FINANACE MANAGEMENT"/>
        <s v="HUMAN RESOURCE MANAGEMENT"/>
        <s v="IT"/>
      </sharedItems>
    </cacheField>
    <cacheField name="MEDIUM" numFmtId="0">
      <sharedItems count="4">
        <s v="ENGLISH"/>
        <s v="YORUBA"/>
        <s v="IGBO"/>
        <s v="HAUSA"/>
      </sharedItems>
    </cacheField>
    <cacheField name="REG.DATE" numFmtId="164">
      <sharedItems containsDate="1" containsMixedTypes="1" minDate="2024-03-25T00:00:00" maxDate="2024-03-26T00:0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8">
  <r>
    <n v="10001"/>
    <s v="BENSON GIFT"/>
    <s v="01, BENSON STREET"/>
    <x v="0"/>
    <n v="123456"/>
    <x v="0"/>
    <s v="bensongift@gmail.com"/>
    <x v="0"/>
    <x v="0"/>
    <x v="0"/>
    <n v="123456789"/>
    <d v="1995-03-02T00:00:00"/>
    <x v="0"/>
    <x v="0"/>
    <d v="2024-03-25T00:00:00"/>
  </r>
  <r>
    <n v="10002"/>
    <s v="BENSON JOY"/>
    <s v="01, BENSON STREET"/>
    <x v="0"/>
    <n v="123456"/>
    <x v="0"/>
    <s v="bensongift@gmail.com"/>
    <x v="0"/>
    <x v="0"/>
    <x v="0"/>
    <n v="123456789"/>
    <d v="1995-03-02T00:00:00"/>
    <x v="0"/>
    <x v="0"/>
    <d v="2024-03-25T00:00:00"/>
  </r>
  <r>
    <n v="10003"/>
    <s v="JOHNSON MOSES"/>
    <s v="01, BENSON STREET"/>
    <x v="0"/>
    <n v="123456"/>
    <x v="0"/>
    <s v="bensongift@gmail.com"/>
    <x v="0"/>
    <x v="0"/>
    <x v="0"/>
    <n v="123456789"/>
    <d v="1995-03-02T00:00:00"/>
    <x v="0"/>
    <x v="0"/>
    <d v="2024-03-25T00:00:00"/>
  </r>
  <r>
    <n v="10004"/>
    <s v="JOHNSON PRAISE"/>
    <s v="01, BENSON STREET"/>
    <x v="0"/>
    <n v="123456"/>
    <x v="0"/>
    <s v="bensongift@gmail.com"/>
    <x v="0"/>
    <x v="0"/>
    <x v="0"/>
    <n v="123456789"/>
    <d v="1995-03-02T00:00:00"/>
    <x v="0"/>
    <x v="0"/>
    <d v="2024-03-25T00:00:00"/>
  </r>
  <r>
    <n v="10005"/>
    <s v=" Jessica Jones"/>
    <s v="02, Main Street"/>
    <x v="1"/>
    <n v="789012"/>
    <x v="1"/>
    <s v="jessicajones@gmail.com"/>
    <x v="0"/>
    <x v="0"/>
    <x v="1"/>
    <n v="987654321"/>
    <s v="Wednesday, June 15, 1994"/>
    <x v="1"/>
    <x v="0"/>
    <s v="Friday, March 15, 2024"/>
  </r>
  <r>
    <n v="10006"/>
    <s v=" Michael Smith"/>
    <s v="123, Oak Avenue"/>
    <x v="2"/>
    <n v="456789"/>
    <x v="2"/>
    <s v="michaelsmith@gmail.com"/>
    <x v="1"/>
    <x v="1"/>
    <x v="1"/>
    <n v="456123789"/>
    <s v="Monday, August 21, 1990"/>
    <x v="1"/>
    <x v="0"/>
    <s v="Wednesday, March 20, 2024"/>
  </r>
  <r>
    <n v="10007"/>
    <s v=" Sarah Johnson"/>
    <s v="456, Pine Road"/>
    <x v="3"/>
    <n v="654321"/>
    <x v="3"/>
    <s v="sarahjohnson@gmail.com"/>
    <x v="0"/>
    <x v="0"/>
    <x v="1"/>
    <n v="321654987"/>
    <s v="Saturday, October 10, 1992"/>
    <x v="1"/>
    <x v="0"/>
    <s v="Thursday, March 28, 2024"/>
  </r>
  <r>
    <n v="10008"/>
    <s v=" David Williams"/>
    <s v="789, Maple Lane"/>
    <x v="4"/>
    <n v="987654"/>
    <x v="0"/>
    <s v="davidwilliams@gmail.com"/>
    <x v="1"/>
    <x v="1"/>
    <x v="1"/>
    <n v="789456123"/>
    <s v="Friday, April 5, 1985"/>
    <x v="1"/>
    <x v="0"/>
    <s v="Tuesday, March 5, 2024"/>
  </r>
  <r>
    <n v="10009"/>
    <s v=" Emily Brown"/>
    <s v="369, Cedar Street"/>
    <x v="5"/>
    <n v="369258"/>
    <x v="1"/>
    <s v="emilybrown@gmail.com"/>
    <x v="0"/>
    <x v="0"/>
    <x v="0"/>
    <n v="258369147"/>
    <s v="Sunday, January 12, 1997"/>
    <x v="2"/>
    <x v="0"/>
    <s v="Sunday, March 10, 2024"/>
  </r>
  <r>
    <n v="10010"/>
    <s v=" Daniel Martinez"/>
    <s v="753, Elm Court"/>
    <x v="6"/>
    <n v="159357"/>
    <x v="2"/>
    <s v="danielmartinez@gmail.com"/>
    <x v="1"/>
    <x v="1"/>
    <x v="1"/>
    <n v="753951456"/>
    <s v="Tuesday, September 30, 1986"/>
    <x v="0"/>
    <x v="1"/>
    <s v="Monday, March 18, 2024"/>
  </r>
  <r>
    <n v="10011"/>
    <s v=" Olivia Garcia"/>
    <s v="951, Walnut Drive"/>
    <x v="7"/>
    <n v="357951"/>
    <x v="3"/>
    <s v="oliviagarcia@gmail.com"/>
    <x v="0"/>
    <x v="0"/>
    <x v="0"/>
    <n v="951357456"/>
    <s v="Friday, July 4, 1991"/>
    <x v="0"/>
    <x v="2"/>
    <s v="Friday, March 22, 2024"/>
  </r>
  <r>
    <n v="10012"/>
    <s v=" Ethan Rodriguez"/>
    <s v="852, Birch Lane"/>
    <x v="8"/>
    <n v="258369"/>
    <x v="0"/>
    <s v="ethanrodriguez@gmail.com"/>
    <x v="0"/>
    <x v="1"/>
    <x v="0"/>
    <n v="852369741"/>
    <s v="Wednesday, May 25, 1994"/>
    <x v="3"/>
    <x v="3"/>
    <s v="Wednesday, March 27, 2024"/>
  </r>
  <r>
    <n v="10013"/>
    <s v=" Sophia Hernandez"/>
    <s v="654, Willow Road"/>
    <x v="9"/>
    <n v="147852"/>
    <x v="1"/>
    <s v="sophiahernandez@gmail.com"/>
    <x v="1"/>
    <x v="0"/>
    <x v="1"/>
    <n v="654987321"/>
    <s v="Saturday, November 30, 1988"/>
    <x v="2"/>
    <x v="2"/>
    <s v="Saturday, March 30, 2024"/>
  </r>
  <r>
    <n v="10014"/>
    <s v=" Lucas Lee"/>
    <s v="753, Sycamore Street"/>
    <x v="10"/>
    <n v="951753"/>
    <x v="2"/>
    <s v="lucaslee@gmail.com"/>
    <x v="0"/>
    <x v="1"/>
    <x v="0"/>
    <n v="753951456"/>
    <s v="Monday, February 19, 1996"/>
    <x v="1"/>
    <x v="0"/>
    <s v="Monday, March 25, 2024"/>
  </r>
  <r>
    <n v="10015"/>
    <s v=" Mia Kim"/>
    <s v="357, Cherry Avenue"/>
    <x v="11"/>
    <n v="654987"/>
    <x v="3"/>
    <s v="miakim@gmail.com"/>
    <x v="0"/>
    <x v="0"/>
    <x v="0"/>
    <n v="357951852"/>
    <s v="Sunday, December 8, 1996"/>
    <x v="3"/>
    <x v="3"/>
    <s v="Sunday, March 31, 2024"/>
  </r>
  <r>
    <n v="10016"/>
    <s v=" Jayden Nguyen"/>
    <s v="159, Poplar Court"/>
    <x v="12"/>
    <n v="369147"/>
    <x v="0"/>
    <s v="jaydennguyen@gmail.com"/>
    <x v="1"/>
    <x v="1"/>
    <x v="1"/>
    <n v="159357852"/>
    <s v="Friday, March 14, 1980"/>
    <x v="1"/>
    <x v="0"/>
    <s v="Friday, March 8, 2024"/>
  </r>
  <r>
    <n v="10017"/>
    <s v=" Chloe Patel"/>
    <s v="951, Oak Lane"/>
    <x v="13"/>
    <n v="753951"/>
    <x v="1"/>
    <s v="chloepatel@gmail.com"/>
    <x v="1"/>
    <x v="0"/>
    <x v="0"/>
    <n v="951753852"/>
    <s v="Wednesday, October 3, 1984"/>
    <x v="2"/>
    <x v="1"/>
    <s v="Wednesday, March 13, 2024"/>
  </r>
  <r>
    <n v="10018"/>
    <s v=" Alexander Gonzalez"/>
    <s v="654, Cedar Street"/>
    <x v="5"/>
    <n v="456789"/>
    <x v="2"/>
    <s v="alexandergonzalez@gmail.com"/>
    <x v="0"/>
    <x v="1"/>
    <x v="1"/>
    <n v="654987321"/>
    <s v="Saturday, April 20, 1991"/>
    <x v="0"/>
    <x v="2"/>
    <s v="Saturday, March 16, 2024"/>
  </r>
  <r>
    <n v="10019"/>
    <s v=" Madison Liu"/>
    <s v="852, Maple Drive"/>
    <x v="4"/>
    <n v="123789"/>
    <x v="0"/>
    <s v="madisonliu@gmail.com"/>
    <x v="1"/>
    <x v="0"/>
    <x v="1"/>
    <n v="852369741"/>
    <s v="Thursday, June 27, 1996"/>
    <x v="2"/>
    <x v="0"/>
    <s v="Thursday, March 21, 2024"/>
  </r>
  <r>
    <n v="10020"/>
    <s v=" Samuel Chang"/>
    <s v="369, Elm Road"/>
    <x v="6"/>
    <n v="987654"/>
    <x v="3"/>
    <s v="samuelchang@gmail.com"/>
    <x v="1"/>
    <x v="1"/>
    <x v="1"/>
    <n v="369258147"/>
    <s v="Sunday, August 5, 1990"/>
    <x v="2"/>
    <x v="0"/>
    <s v="Sunday, March 24, 2024"/>
  </r>
  <r>
    <n v="10021"/>
    <s v=" Grace Murphy"/>
    <s v="753, Walnut Avenue"/>
    <x v="7"/>
    <n v="369258"/>
    <x v="1"/>
    <s v="gracemurphy@gmail.com"/>
    <x v="0"/>
    <x v="0"/>
    <x v="1"/>
    <n v="753951456"/>
    <s v="Tuesday, December 18, 1990"/>
    <x v="1"/>
    <x v="1"/>
    <s v="Tuesday, March 26, 2024"/>
  </r>
  <r>
    <n v="10022"/>
    <s v=" Benjamin Rivera"/>
    <s v="456, Pine Street"/>
    <x v="3"/>
    <n v="951753"/>
    <x v="2"/>
    <s v="benjaminrivera@gmail.com"/>
    <x v="0"/>
    <x v="1"/>
    <x v="0"/>
    <n v="456123789"/>
    <s v="Saturday, January 9, 1993"/>
    <x v="1"/>
    <x v="0"/>
    <s v="Saturday, March 9, 2024"/>
  </r>
  <r>
    <n v="10023"/>
    <s v=" Lily Ward"/>
    <s v="789, Oak Drive"/>
    <x v="13"/>
    <n v="258369"/>
    <x v="0"/>
    <s v="lilyward@gmail.com"/>
    <x v="0"/>
    <x v="0"/>
    <x v="1"/>
    <n v="789456123"/>
    <s v="Wednesday, September 11, 1996"/>
    <x v="1"/>
    <x v="2"/>
    <s v="Wednesday, March 13, 2024"/>
  </r>
  <r>
    <n v="10024"/>
    <s v=" Aiden Scott"/>
    <s v="123, Birch Road"/>
    <x v="8"/>
    <n v="123456"/>
    <x v="1"/>
    <s v="aidenscott@gmail.com"/>
    <x v="0"/>
    <x v="1"/>
    <x v="0"/>
    <n v="123456789"/>
    <s v="Saturday, May 8, 1999"/>
    <x v="0"/>
    <x v="1"/>
    <s v="Saturday, March 17, 2024"/>
  </r>
  <r>
    <n v="10025"/>
    <s v=" Harper Torres"/>
    <s v="369, Sycamore Drive"/>
    <x v="10"/>
    <n v="789012"/>
    <x v="2"/>
    <s v="harpertorres@gmail.com"/>
    <x v="0"/>
    <x v="0"/>
    <x v="0"/>
    <n v="369258147"/>
    <s v="Monday, July 22, 1996"/>
    <x v="1"/>
    <x v="2"/>
    <s v="Monday, March 20, 2024"/>
  </r>
  <r>
    <n v="10026"/>
    <s v=" Evelyn Flores"/>
    <s v="456, Willow Lane"/>
    <x v="9"/>
    <n v="456789"/>
    <x v="3"/>
    <s v="evelynflores@gmail.com"/>
    <x v="0"/>
    <x v="0"/>
    <x v="0"/>
    <n v="456123789"/>
    <s v="Thursday, April 3, 1997"/>
    <x v="1"/>
    <x v="2"/>
    <s v="Thursday, March 23, 2024"/>
  </r>
  <r>
    <n v="10027"/>
    <s v=" Mateo Collins"/>
    <s v="852, Elm Street"/>
    <x v="6"/>
    <n v="789456"/>
    <x v="0"/>
    <s v="mateocollins@gmail.com"/>
    <x v="0"/>
    <x v="1"/>
    <x v="0"/>
    <n v="852369741"/>
    <s v="Sunday, November 14, 1993"/>
    <x v="3"/>
    <x v="0"/>
    <s v="Sunday, March 27, 2024"/>
  </r>
  <r>
    <n v="10028"/>
    <s v=" Zoey Bennett"/>
    <s v="123, Poplar Avenue"/>
    <x v="12"/>
    <n v="654321"/>
    <x v="1"/>
    <s v="zoeybennett@gmail.com"/>
    <x v="1"/>
    <x v="0"/>
    <x v="1"/>
    <n v="123654789"/>
    <s v="Tuesday, February 26, 1985"/>
    <x v="3"/>
    <x v="1"/>
    <s v="Wednesday, March 13, 20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I3:J6" firstHeaderRow="1" firstDataRow="1" firstDataCol="1"/>
  <pivotFields count="15">
    <pivotField dataField="1" showAll="0"/>
    <pivotField showAll="0"/>
    <pivotField showAll="0"/>
    <pivotField showAll="0" sortType="descending">
      <items count="15">
        <item x="9"/>
        <item x="4"/>
        <item x="2"/>
        <item x="7"/>
        <item x="11"/>
        <item x="13"/>
        <item x="12"/>
        <item x="0"/>
        <item x="8"/>
        <item x="1"/>
        <item x="10"/>
        <item x="6"/>
        <item x="3"/>
        <item x="5"/>
        <item t="default"/>
      </items>
      <autoSortScope>
        <pivotArea dataOnly="0" outline="0" fieldPosition="0">
          <references count="1">
            <reference field="4294967294" count="1" selected="0">
              <x v="0"/>
            </reference>
          </references>
        </pivotArea>
      </autoSortScope>
    </pivotField>
    <pivotField showAll="0"/>
    <pivotField showAll="0">
      <items count="5">
        <item x="0"/>
        <item x="2"/>
        <item x="3"/>
        <item x="1"/>
        <item t="default"/>
      </items>
    </pivotField>
    <pivotField showAll="0"/>
    <pivotField showAll="0">
      <items count="3">
        <item x="1"/>
        <item x="0"/>
        <item t="default"/>
      </items>
    </pivotField>
    <pivotField axis="axisRow" showAll="0">
      <items count="3">
        <item x="0"/>
        <item x="1"/>
        <item t="default"/>
      </items>
    </pivotField>
    <pivotField showAll="0">
      <items count="3">
        <item x="1"/>
        <item x="0"/>
        <item t="default"/>
      </items>
    </pivotField>
    <pivotField showAll="0"/>
    <pivotField showAll="0"/>
    <pivotField showAll="0">
      <items count="5">
        <item x="1"/>
        <item x="2"/>
        <item x="3"/>
        <item x="0"/>
        <item t="default"/>
      </items>
    </pivotField>
    <pivotField showAll="0"/>
    <pivotField showAll="0"/>
  </pivotFields>
  <rowFields count="1">
    <field x="8"/>
  </rowFields>
  <rowItems count="3">
    <i>
      <x/>
    </i>
    <i>
      <x v="1"/>
    </i>
    <i t="grand">
      <x/>
    </i>
  </rowItems>
  <colItems count="1">
    <i/>
  </colItems>
  <dataFields count="1">
    <dataField name="Count of ROLL NO" fld="0" subtotal="count" baseField="3" baseItem="0"/>
  </dataFields>
  <chartFormats count="3">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8" count="1" selected="0">
            <x v="0"/>
          </reference>
        </references>
      </pivotArea>
    </chartFormat>
    <chartFormat chart="4" format="7">
      <pivotArea type="data" outline="0" fieldPosition="0">
        <references count="2">
          <reference field="4294967294" count="1" selected="0">
            <x v="0"/>
          </reference>
          <reference field="8" count="1" selected="0">
            <x v="1"/>
          </reference>
        </references>
      </pivotArea>
    </chartFormat>
  </chartFormats>
  <pivotTableStyleInfo name="PivotStyleDark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E15:F18" firstHeaderRow="1" firstDataRow="1" firstDataCol="1"/>
  <pivotFields count="15">
    <pivotField dataField="1" showAll="0"/>
    <pivotField showAll="0"/>
    <pivotField showAll="0"/>
    <pivotField showAll="0" sortType="descending">
      <items count="15">
        <item x="9"/>
        <item x="4"/>
        <item x="2"/>
        <item x="7"/>
        <item x="11"/>
        <item x="13"/>
        <item x="12"/>
        <item x="0"/>
        <item x="8"/>
        <item x="1"/>
        <item x="10"/>
        <item x="6"/>
        <item x="3"/>
        <item x="5"/>
        <item t="default"/>
      </items>
      <autoSortScope>
        <pivotArea dataOnly="0" outline="0" fieldPosition="0">
          <references count="1">
            <reference field="4294967294" count="1" selected="0">
              <x v="0"/>
            </reference>
          </references>
        </pivotArea>
      </autoSortScope>
    </pivotField>
    <pivotField showAll="0"/>
    <pivotField showAll="0">
      <items count="5">
        <item x="0"/>
        <item x="2"/>
        <item x="3"/>
        <item x="1"/>
        <item t="default"/>
      </items>
    </pivotField>
    <pivotField showAll="0"/>
    <pivotField axis="axisRow" showAll="0" sortType="descending">
      <items count="3">
        <item x="1"/>
        <item x="0"/>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showAll="0">
      <items count="3">
        <item x="1"/>
        <item x="0"/>
        <item t="default"/>
      </items>
    </pivotField>
    <pivotField showAll="0"/>
    <pivotField showAll="0"/>
    <pivotField showAll="0">
      <items count="5">
        <item x="1"/>
        <item x="2"/>
        <item x="3"/>
        <item x="0"/>
        <item t="default"/>
      </items>
    </pivotField>
    <pivotField showAll="0"/>
    <pivotField showAll="0"/>
  </pivotFields>
  <rowFields count="1">
    <field x="7"/>
  </rowFields>
  <rowItems count="3">
    <i>
      <x v="1"/>
    </i>
    <i>
      <x/>
    </i>
    <i t="grand">
      <x/>
    </i>
  </rowItems>
  <colItems count="1">
    <i/>
  </colItems>
  <dataFields count="1">
    <dataField name="Count of ROLL NO" fld="0" subtotal="count" baseField="3" baseItem="0"/>
  </dataFields>
  <chartFormats count="3">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7" count="1" selected="0">
            <x v="1"/>
          </reference>
        </references>
      </pivotArea>
    </chartFormat>
    <chartFormat chart="6" format="10">
      <pivotArea type="data" outline="0" fieldPosition="0">
        <references count="2">
          <reference field="4294967294" count="1" selected="0">
            <x v="0"/>
          </reference>
          <reference field="7" count="1" selected="0">
            <x v="0"/>
          </reference>
        </references>
      </pivotArea>
    </chartFormat>
  </chartFormats>
  <pivotTableStyleInfo name="PivotStyleDark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rovince_PV"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E3:F8" firstHeaderRow="1" firstDataRow="1" firstDataCol="1"/>
  <pivotFields count="15">
    <pivotField dataField="1" showAll="0"/>
    <pivotField showAll="0"/>
    <pivotField showAll="0"/>
    <pivotField showAll="0" sortType="descending">
      <items count="15">
        <item x="9"/>
        <item x="4"/>
        <item x="2"/>
        <item x="7"/>
        <item x="11"/>
        <item x="13"/>
        <item x="12"/>
        <item x="0"/>
        <item x="8"/>
        <item x="1"/>
        <item x="10"/>
        <item x="6"/>
        <item x="3"/>
        <item x="5"/>
        <item t="default"/>
      </items>
      <autoSortScope>
        <pivotArea dataOnly="0" outline="0" fieldPosition="0">
          <references count="1">
            <reference field="4294967294" count="1" selected="0">
              <x v="0"/>
            </reference>
          </references>
        </pivotArea>
      </autoSortScope>
    </pivotField>
    <pivotField showAll="0"/>
    <pivotField axis="axisRow" showAll="0" sortType="ascending">
      <items count="5">
        <item x="0"/>
        <item x="2"/>
        <item x="3"/>
        <item x="1"/>
        <item t="default"/>
      </items>
      <autoSortScope>
        <pivotArea dataOnly="0" outline="0" fieldPosition="0">
          <references count="1">
            <reference field="4294967294" count="1" selected="0">
              <x v="0"/>
            </reference>
          </references>
        </pivotArea>
      </autoSortScope>
    </pivotField>
    <pivotField showAll="0"/>
    <pivotField showAll="0">
      <items count="3">
        <item x="1"/>
        <item x="0"/>
        <item t="default"/>
      </items>
    </pivotField>
    <pivotField showAll="0">
      <items count="3">
        <item x="0"/>
        <item x="1"/>
        <item t="default"/>
      </items>
    </pivotField>
    <pivotField showAll="0">
      <items count="3">
        <item x="1"/>
        <item x="0"/>
        <item t="default"/>
      </items>
    </pivotField>
    <pivotField showAll="0"/>
    <pivotField showAll="0"/>
    <pivotField showAll="0">
      <items count="5">
        <item x="1"/>
        <item x="2"/>
        <item x="3"/>
        <item x="0"/>
        <item t="default"/>
      </items>
    </pivotField>
    <pivotField showAll="0"/>
    <pivotField showAll="0"/>
  </pivotFields>
  <rowFields count="1">
    <field x="5"/>
  </rowFields>
  <rowItems count="5">
    <i>
      <x v="2"/>
    </i>
    <i>
      <x v="1"/>
    </i>
    <i>
      <x v="3"/>
    </i>
    <i>
      <x/>
    </i>
    <i t="grand">
      <x/>
    </i>
  </rowItems>
  <colItems count="1">
    <i/>
  </colItems>
  <dataFields count="1">
    <dataField name="Count of ROLL NO" fld="0" subtotal="count" baseField="3" baseItem="0"/>
  </dataFields>
  <chartFormats count="1">
    <chartFormat chart="3" format="2"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E25:F30" firstHeaderRow="1" firstDataRow="1" firstDataCol="1"/>
  <pivotFields count="15">
    <pivotField dataField="1" showAll="0"/>
    <pivotField showAll="0"/>
    <pivotField showAll="0"/>
    <pivotField showAll="0" sortType="descending">
      <items count="15">
        <item x="9"/>
        <item x="4"/>
        <item x="2"/>
        <item x="7"/>
        <item x="11"/>
        <item x="13"/>
        <item x="12"/>
        <item x="0"/>
        <item x="8"/>
        <item x="1"/>
        <item x="10"/>
        <item x="6"/>
        <item x="3"/>
        <item x="5"/>
        <item t="default"/>
      </items>
      <autoSortScope>
        <pivotArea dataOnly="0" outline="0" fieldPosition="0">
          <references count="1">
            <reference field="4294967294" count="1" selected="0">
              <x v="0"/>
            </reference>
          </references>
        </pivotArea>
      </autoSortScope>
    </pivotField>
    <pivotField showAll="0"/>
    <pivotField showAll="0">
      <items count="5">
        <item x="0"/>
        <item x="2"/>
        <item x="3"/>
        <item x="1"/>
        <item t="default"/>
      </items>
    </pivotField>
    <pivotField showAll="0"/>
    <pivotField showAll="0">
      <items count="3">
        <item x="1"/>
        <item x="0"/>
        <item t="default"/>
      </items>
    </pivotField>
    <pivotField showAll="0">
      <items count="3">
        <item x="0"/>
        <item x="1"/>
        <item t="default"/>
      </items>
    </pivotField>
    <pivotField showAll="0">
      <items count="3">
        <item x="1"/>
        <item x="0"/>
        <item t="default"/>
      </items>
    </pivotField>
    <pivotField showAll="0"/>
    <pivotField showAll="0"/>
    <pivotField showAll="0" sortType="descending">
      <items count="5">
        <item x="1"/>
        <item x="2"/>
        <item x="3"/>
        <item x="0"/>
        <item t="default"/>
      </items>
      <autoSortScope>
        <pivotArea dataOnly="0" outline="0" fieldPosition="0">
          <references count="1">
            <reference field="4294967294" count="1" selected="0">
              <x v="0"/>
            </reference>
          </references>
        </pivotArea>
      </autoSortScope>
    </pivotField>
    <pivotField axis="axisRow" showAll="0">
      <items count="5">
        <item x="0"/>
        <item x="3"/>
        <item x="2"/>
        <item x="1"/>
        <item t="default"/>
      </items>
    </pivotField>
    <pivotField showAll="0"/>
  </pivotFields>
  <rowFields count="1">
    <field x="13"/>
  </rowFields>
  <rowItems count="5">
    <i>
      <x/>
    </i>
    <i>
      <x v="1"/>
    </i>
    <i>
      <x v="2"/>
    </i>
    <i>
      <x v="3"/>
    </i>
    <i t="grand">
      <x/>
    </i>
  </rowItems>
  <colItems count="1">
    <i/>
  </colItems>
  <dataFields count="1">
    <dataField name="Count of ROLL NO" fld="0" subtotal="count" baseField="3" baseItem="0"/>
  </dataFields>
  <chartFormats count="1">
    <chartFormat chart="3" format="2"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25:B30" firstHeaderRow="1" firstDataRow="1" firstDataCol="1"/>
  <pivotFields count="15">
    <pivotField dataField="1" showAll="0"/>
    <pivotField showAll="0"/>
    <pivotField showAll="0"/>
    <pivotField showAll="0" sortType="descending">
      <items count="15">
        <item x="9"/>
        <item x="4"/>
        <item x="2"/>
        <item x="7"/>
        <item x="11"/>
        <item x="13"/>
        <item x="12"/>
        <item x="0"/>
        <item x="8"/>
        <item x="1"/>
        <item x="10"/>
        <item x="6"/>
        <item x="3"/>
        <item x="5"/>
        <item t="default"/>
      </items>
      <autoSortScope>
        <pivotArea dataOnly="0" outline="0" fieldPosition="0">
          <references count="1">
            <reference field="4294967294" count="1" selected="0">
              <x v="0"/>
            </reference>
          </references>
        </pivotArea>
      </autoSortScope>
    </pivotField>
    <pivotField showAll="0"/>
    <pivotField showAll="0">
      <items count="5">
        <item x="0"/>
        <item x="2"/>
        <item x="3"/>
        <item x="1"/>
        <item t="default"/>
      </items>
    </pivotField>
    <pivotField showAll="0"/>
    <pivotField showAll="0">
      <items count="3">
        <item x="1"/>
        <item x="0"/>
        <item t="default"/>
      </items>
    </pivotField>
    <pivotField showAll="0">
      <items count="3">
        <item x="0"/>
        <item x="1"/>
        <item t="default"/>
      </items>
    </pivotField>
    <pivotField showAll="0">
      <items count="3">
        <item x="1"/>
        <item x="0"/>
        <item t="default"/>
      </items>
    </pivotField>
    <pivotField showAll="0"/>
    <pivotField showAll="0"/>
    <pivotField axis="axisRow" showAll="0" sortType="descending">
      <items count="5">
        <item x="1"/>
        <item x="2"/>
        <item x="3"/>
        <item x="0"/>
        <item t="default"/>
      </items>
      <autoSortScope>
        <pivotArea dataOnly="0" outline="0" fieldPosition="0">
          <references count="1">
            <reference field="4294967294" count="1" selected="0">
              <x v="0"/>
            </reference>
          </references>
        </pivotArea>
      </autoSortScope>
    </pivotField>
    <pivotField showAll="0"/>
    <pivotField showAll="0"/>
  </pivotFields>
  <rowFields count="1">
    <field x="12"/>
  </rowFields>
  <rowItems count="5">
    <i>
      <x/>
    </i>
    <i>
      <x v="3"/>
    </i>
    <i>
      <x v="1"/>
    </i>
    <i>
      <x v="2"/>
    </i>
    <i t="grand">
      <x/>
    </i>
  </rowItems>
  <colItems count="1">
    <i/>
  </colItems>
  <dataFields count="1">
    <dataField name="Count of ROLL NO" fld="0" subtotal="count" baseField="3" baseItem="0"/>
  </dataFields>
  <chartFormats count="5">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12" count="1" selected="0">
            <x v="0"/>
          </reference>
        </references>
      </pivotArea>
    </chartFormat>
    <chartFormat chart="9" format="12">
      <pivotArea type="data" outline="0" fieldPosition="0">
        <references count="2">
          <reference field="4294967294" count="1" selected="0">
            <x v="0"/>
          </reference>
          <reference field="12" count="1" selected="0">
            <x v="3"/>
          </reference>
        </references>
      </pivotArea>
    </chartFormat>
    <chartFormat chart="9" format="13">
      <pivotArea type="data" outline="0" fieldPosition="0">
        <references count="2">
          <reference field="4294967294" count="1" selected="0">
            <x v="0"/>
          </reference>
          <reference field="12" count="1" selected="0">
            <x v="1"/>
          </reference>
        </references>
      </pivotArea>
    </chartFormat>
    <chartFormat chart="9" format="14">
      <pivotArea type="data" outline="0" fieldPosition="0">
        <references count="2">
          <reference field="4294967294" count="1" selected="0">
            <x v="0"/>
          </reference>
          <reference field="12" count="1" selected="0">
            <x v="2"/>
          </reference>
        </references>
      </pivotArea>
    </chartFormat>
  </chartFormats>
  <pivotTableStyleInfo name="PivotStyleDark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City_PV"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18" firstHeaderRow="1" firstDataRow="1" firstDataCol="1"/>
  <pivotFields count="15">
    <pivotField dataField="1" showAll="0"/>
    <pivotField showAll="0"/>
    <pivotField showAll="0"/>
    <pivotField axis="axisRow" showAll="0" sortType="descending">
      <items count="15">
        <item x="9"/>
        <item x="4"/>
        <item x="2"/>
        <item x="7"/>
        <item x="11"/>
        <item x="13"/>
        <item x="12"/>
        <item x="0"/>
        <item x="8"/>
        <item x="1"/>
        <item x="10"/>
        <item x="6"/>
        <item x="3"/>
        <item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3">
        <item x="1"/>
        <item x="0"/>
        <item t="default"/>
      </items>
    </pivotField>
    <pivotField showAll="0">
      <items count="3">
        <item x="0"/>
        <item x="1"/>
        <item t="default"/>
      </items>
    </pivotField>
    <pivotField showAll="0">
      <items count="3">
        <item x="1"/>
        <item x="0"/>
        <item t="default"/>
      </items>
    </pivotField>
    <pivotField showAll="0"/>
    <pivotField showAll="0"/>
    <pivotField showAll="0">
      <items count="5">
        <item x="1"/>
        <item x="2"/>
        <item x="3"/>
        <item x="0"/>
        <item t="default"/>
      </items>
    </pivotField>
    <pivotField showAll="0"/>
    <pivotField showAll="0"/>
  </pivotFields>
  <rowFields count="1">
    <field x="3"/>
  </rowFields>
  <rowItems count="15">
    <i>
      <x v="7"/>
    </i>
    <i>
      <x v="11"/>
    </i>
    <i>
      <x v="1"/>
    </i>
    <i>
      <x v="3"/>
    </i>
    <i>
      <x v="8"/>
    </i>
    <i>
      <x v="10"/>
    </i>
    <i>
      <x v="12"/>
    </i>
    <i>
      <x v="5"/>
    </i>
    <i>
      <x v="13"/>
    </i>
    <i>
      <x/>
    </i>
    <i>
      <x v="6"/>
    </i>
    <i>
      <x v="4"/>
    </i>
    <i>
      <x v="2"/>
    </i>
    <i>
      <x v="9"/>
    </i>
    <i t="grand">
      <x/>
    </i>
  </rowItems>
  <colItems count="1">
    <i/>
  </colItems>
  <dataFields count="1">
    <dataField name="Count of ROLL NO" fld="0" subtotal="count" baseField="3" baseItem="0"/>
  </dataFields>
  <chartFormats count="1">
    <chartFormat chart="3" format="3"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I15:J18" firstHeaderRow="1" firstDataRow="1" firstDataCol="1"/>
  <pivotFields count="15">
    <pivotField dataField="1" showAll="0"/>
    <pivotField showAll="0"/>
    <pivotField showAll="0"/>
    <pivotField showAll="0" sortType="descending">
      <items count="15">
        <item x="9"/>
        <item x="4"/>
        <item x="2"/>
        <item x="7"/>
        <item x="11"/>
        <item x="13"/>
        <item x="12"/>
        <item x="0"/>
        <item x="8"/>
        <item x="1"/>
        <item x="10"/>
        <item x="6"/>
        <item x="3"/>
        <item x="5"/>
        <item t="default"/>
      </items>
      <autoSortScope>
        <pivotArea dataOnly="0" outline="0" fieldPosition="0">
          <references count="1">
            <reference field="4294967294" count="1" selected="0">
              <x v="0"/>
            </reference>
          </references>
        </pivotArea>
      </autoSortScope>
    </pivotField>
    <pivotField showAll="0"/>
    <pivotField showAll="0">
      <items count="5">
        <item x="0"/>
        <item x="2"/>
        <item x="3"/>
        <item x="1"/>
        <item t="default"/>
      </items>
    </pivotField>
    <pivotField showAll="0"/>
    <pivotField showAll="0">
      <items count="3">
        <item x="1"/>
        <item x="0"/>
        <item t="default"/>
      </items>
    </pivotField>
    <pivotField showAll="0">
      <items count="3">
        <item x="0"/>
        <item x="1"/>
        <item t="default"/>
      </items>
    </pivotField>
    <pivotField axis="axisRow" showAll="0" sortType="descending">
      <items count="3">
        <item x="1"/>
        <item x="0"/>
        <item t="default"/>
      </items>
      <autoSortScope>
        <pivotArea dataOnly="0" outline="0" fieldPosition="0">
          <references count="1">
            <reference field="4294967294" count="1" selected="0">
              <x v="0"/>
            </reference>
          </references>
        </pivotArea>
      </autoSortScope>
    </pivotField>
    <pivotField showAll="0"/>
    <pivotField showAll="0"/>
    <pivotField showAll="0">
      <items count="5">
        <item x="1"/>
        <item x="2"/>
        <item x="3"/>
        <item x="0"/>
        <item t="default"/>
      </items>
    </pivotField>
    <pivotField showAll="0"/>
    <pivotField showAll="0"/>
  </pivotFields>
  <rowFields count="1">
    <field x="9"/>
  </rowFields>
  <rowItems count="3">
    <i>
      <x v="1"/>
    </i>
    <i>
      <x/>
    </i>
    <i t="grand">
      <x/>
    </i>
  </rowItems>
  <colItems count="1">
    <i/>
  </colItems>
  <dataFields count="1">
    <dataField name="Count of ROLL NO" fld="0" subtotal="count" baseField="3" baseItem="0"/>
  </dataFields>
  <chartFormats count="3">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9" count="1" selected="0">
            <x v="1"/>
          </reference>
        </references>
      </pivotArea>
    </chartFormat>
    <chartFormat chart="4" format="7">
      <pivotArea type="data" outline="0" fieldPosition="0">
        <references count="2">
          <reference field="4294967294" count="1" selected="0">
            <x v="0"/>
          </reference>
          <reference field="9" count="1" selected="0">
            <x v="0"/>
          </reference>
        </references>
      </pivotArea>
    </chartFormat>
  </chartFormats>
  <pivotTableStyleInfo name="PivotStyleDark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00000000-0013-0000-FFFF-FFFF01000000}" sourceName="CITY ">
  <pivotTables>
    <pivotTable tabId="6" name="City_PV"/>
    <pivotTable tabId="6" name="PivotTable3"/>
    <pivotTable tabId="6" name="PivotTable4"/>
    <pivotTable tabId="6" name="PivotTable5"/>
    <pivotTable tabId="6" name="PivotTable6"/>
    <pivotTable tabId="6" name="PivotTable7"/>
    <pivotTable tabId="6" name="Province_PV"/>
  </pivotTables>
  <data>
    <tabular pivotCacheId="1">
      <items count="14">
        <i x="9" s="1"/>
        <i x="4" s="1"/>
        <i x="2" s="1"/>
        <i x="7" s="1"/>
        <i x="11" s="1"/>
        <i x="13" s="1"/>
        <i x="12" s="1"/>
        <i x="0" s="1"/>
        <i x="8" s="1"/>
        <i x="1" s="1"/>
        <i x="10" s="1"/>
        <i x="6" s="1"/>
        <i x="3"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VIL_STATUS" xr10:uid="{00000000-0013-0000-FFFF-FFFF02000000}" sourceName="CIVIL STATUS">
  <pivotTables>
    <pivotTable tabId="6" name="City_PV"/>
    <pivotTable tabId="6" name="PivotTable3"/>
    <pivotTable tabId="6" name="PivotTable4"/>
    <pivotTable tabId="6" name="PivotTable5"/>
    <pivotTable tabId="6" name="PivotTable6"/>
    <pivotTable tabId="6" name="PivotTable7"/>
    <pivotTable tabId="6" name="Province_PV"/>
  </pivotTables>
  <data>
    <tabular pivotCacheId="1">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0000000-0013-0000-FFFF-FFFF03000000}" sourceName="GENDER">
  <pivotTables>
    <pivotTable tabId="6" name="City_PV"/>
    <pivotTable tabId="6" name="PivotTable3"/>
    <pivotTable tabId="6" name="PivotTable4"/>
    <pivotTable tabId="6" name="PivotTable5"/>
    <pivotTable tabId="6" name="PivotTable6"/>
    <pivotTable tabId="6" name="PivotTable7"/>
    <pivotTable tabId="6" name="Province_PV"/>
  </pivotTables>
  <data>
    <tabular pivotCacheId="1">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IGION" xr10:uid="{00000000-0013-0000-FFFF-FFFF04000000}" sourceName="RELIGION">
  <pivotTables>
    <pivotTable tabId="6" name="City_PV"/>
    <pivotTable tabId="6" name="PivotTable3"/>
    <pivotTable tabId="6" name="PivotTable4"/>
    <pivotTable tabId="6" name="PivotTable5"/>
    <pivotTable tabId="6" name="PivotTable6"/>
    <pivotTable tabId="6" name="PivotTable7"/>
    <pivotTable tabId="6" name="Province_PV"/>
  </pivotTables>
  <data>
    <tabular pivotCacheId="1">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RSE_NAME" xr10:uid="{00000000-0013-0000-FFFF-FFFF05000000}" sourceName="COURSE NAME">
  <pivotTables>
    <pivotTable tabId="6" name="City_PV"/>
    <pivotTable tabId="6" name="PivotTable3"/>
    <pivotTable tabId="6" name="PivotTable4"/>
    <pivotTable tabId="6" name="PivotTable5"/>
    <pivotTable tabId="6" name="PivotTable6"/>
    <pivotTable tabId="6" name="PivotTable7"/>
    <pivotTable tabId="6" name="Province_PV"/>
  </pivotTables>
  <data>
    <tabular pivotCacheId="1">
      <items count="4">
        <i x="1" s="1"/>
        <i x="2"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 xr10:uid="{00000000-0014-0000-FFFF-FFFF01000000}" cache="Slicer_CITY" caption="CITY " style="SlicerStyleDark2" rowHeight="234950"/>
  <slicer name="CIVIL STATUS" xr10:uid="{00000000-0014-0000-FFFF-FFFF02000000}" cache="Slicer_CIVIL_STATUS" caption="CIVIL STATUS" style="SlicerStyleDark2" rowHeight="234950"/>
  <slicer name="GENDER" xr10:uid="{00000000-0014-0000-FFFF-FFFF03000000}" cache="Slicer_GENDER" caption="GENDER" style="SlicerStyleDark2" rowHeight="234950"/>
  <slicer name="RELIGION" xr10:uid="{00000000-0014-0000-FFFF-FFFF04000000}" cache="Slicer_RELIGION" caption="RELIGION" style="SlicerStyleDark2" rowHeight="234950"/>
  <slicer name="COURSE NAME" xr10:uid="{00000000-0014-0000-FFFF-FFFF05000000}" cache="Slicer_COURSE_NAME" caption="COURSE NAME" style="SlicerStyleDark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O29" totalsRowShown="0" headerRowDxfId="0" dataDxfId="16">
  <autoFilter ref="A1:O29" xr:uid="{00000000-0009-0000-0100-000002000000}"/>
  <tableColumns count="15">
    <tableColumn id="1" xr3:uid="{00000000-0010-0000-0000-000001000000}" name="ROLL NO" dataDxfId="15"/>
    <tableColumn id="2" xr3:uid="{00000000-0010-0000-0000-000002000000}" name="FULL NAME" dataDxfId="14"/>
    <tableColumn id="3" xr3:uid="{00000000-0010-0000-0000-000003000000}" name="ADDRESS" dataDxfId="13"/>
    <tableColumn id="4" xr3:uid="{00000000-0010-0000-0000-000004000000}" name="CITY " dataDxfId="12"/>
    <tableColumn id="5" xr3:uid="{00000000-0010-0000-0000-000005000000}" name="ZIP CODE" dataDxfId="11"/>
    <tableColumn id="6" xr3:uid="{00000000-0010-0000-0000-000006000000}" name="PROVINCE" dataDxfId="10"/>
    <tableColumn id="7" xr3:uid="{00000000-0010-0000-0000-000007000000}" name="EMAIL" dataDxfId="9" dataCellStyle="Hyperlink"/>
    <tableColumn id="8" xr3:uid="{00000000-0010-0000-0000-000008000000}" name="CIVIL STATUS" dataDxfId="8"/>
    <tableColumn id="9" xr3:uid="{00000000-0010-0000-0000-000009000000}" name="GENDER" dataDxfId="7"/>
    <tableColumn id="10" xr3:uid="{00000000-0010-0000-0000-00000A000000}" name="RELIGION" dataDxfId="6"/>
    <tableColumn id="11" xr3:uid="{00000000-0010-0000-0000-00000B000000}" name="PHONE NO" dataDxfId="5"/>
    <tableColumn id="12" xr3:uid="{00000000-0010-0000-0000-00000C000000}" name="DATE OF BIRTH" dataDxfId="4"/>
    <tableColumn id="13" xr3:uid="{00000000-0010-0000-0000-00000D000000}" name="COURSE NAME" dataDxfId="3"/>
    <tableColumn id="14" xr3:uid="{00000000-0010-0000-0000-00000E000000}" name="MEDIUM" dataDxfId="2"/>
    <tableColumn id="15" xr3:uid="{00000000-0010-0000-0000-00000F000000}" name="REG.DATE"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mailto:bensongift@gmail.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N20"/>
  <sheetViews>
    <sheetView showGridLines="0" tabSelected="1" zoomScale="85" zoomScaleNormal="85" workbookViewId="0">
      <selection activeCell="U10" sqref="U10"/>
    </sheetView>
  </sheetViews>
  <sheetFormatPr defaultColWidth="8.85546875" defaultRowHeight="15" x14ac:dyDescent="0.25"/>
  <cols>
    <col min="1" max="1" width="5" style="1" customWidth="1"/>
    <col min="2" max="2" width="27.7109375" style="1" customWidth="1"/>
    <col min="3" max="3" width="46" style="1" customWidth="1"/>
    <col min="4" max="4" width="8.7109375" style="1" customWidth="1"/>
    <col min="5" max="5" width="8.85546875" style="1"/>
    <col min="6" max="6" width="8.85546875" style="1" customWidth="1"/>
    <col min="7" max="7" width="9.85546875" style="1" customWidth="1"/>
    <col min="8" max="8" width="10.7109375" style="1" customWidth="1"/>
    <col min="9" max="10" width="8.85546875" style="1"/>
    <col min="11" max="12" width="8.85546875" style="1" customWidth="1"/>
    <col min="13" max="16384" width="8.85546875" style="1"/>
  </cols>
  <sheetData>
    <row r="1" spans="2:14" ht="28.5" x14ac:dyDescent="0.45">
      <c r="B1" s="45" t="s">
        <v>0</v>
      </c>
      <c r="C1" s="45"/>
      <c r="D1" s="4"/>
      <c r="F1" s="45" t="s">
        <v>18</v>
      </c>
      <c r="G1" s="45"/>
      <c r="H1" s="45"/>
      <c r="I1" s="45"/>
      <c r="J1" s="45"/>
      <c r="K1" s="45"/>
      <c r="L1" s="45"/>
      <c r="M1" s="45"/>
      <c r="N1" s="8"/>
    </row>
    <row r="2" spans="2:14" ht="15.75" thickBot="1" x14ac:dyDescent="0.3"/>
    <row r="3" spans="2:14" ht="28.15" customHeight="1" thickBot="1" x14ac:dyDescent="0.45">
      <c r="B3" s="7" t="s">
        <v>1</v>
      </c>
      <c r="C3" s="38"/>
      <c r="D3" s="3" t="str">
        <f>IF(ISBLANK(C3),"","P")</f>
        <v/>
      </c>
      <c r="E3" s="6" t="str">
        <f>IF(D3="","*","")</f>
        <v>*</v>
      </c>
      <c r="F3" s="46" t="s">
        <v>17</v>
      </c>
      <c r="G3" s="47"/>
      <c r="H3" s="48"/>
      <c r="K3" s="46" t="s">
        <v>31</v>
      </c>
      <c r="L3" s="47"/>
      <c r="M3" s="48"/>
    </row>
    <row r="4" spans="2:14" ht="28.15" customHeight="1" thickBot="1" x14ac:dyDescent="0.35">
      <c r="B4" s="14" t="str">
        <f>IFERROR(IF(VLOOKUP(C3,Table2[],1,FALSE),"The Roll Number already Exist",""),"")</f>
        <v/>
      </c>
      <c r="C4" s="5"/>
      <c r="F4" s="49" t="s">
        <v>16</v>
      </c>
      <c r="G4" s="50"/>
      <c r="H4" s="12">
        <f>COUNTIF(PROVINCE,F4)</f>
        <v>10</v>
      </c>
      <c r="K4" s="49" t="s">
        <v>32</v>
      </c>
      <c r="L4" s="50"/>
      <c r="M4" s="12">
        <f>COUNTIF(COURSE,K4)</f>
        <v>8</v>
      </c>
    </row>
    <row r="5" spans="2:14" ht="28.15" customHeight="1" x14ac:dyDescent="0.4">
      <c r="B5" s="9" t="s">
        <v>2</v>
      </c>
      <c r="C5" s="39"/>
      <c r="D5" s="2" t="str">
        <f>IF(ISBLANK(C5),"","P")</f>
        <v/>
      </c>
      <c r="E5" s="6" t="str">
        <f>IF(D5="","*","")</f>
        <v>*</v>
      </c>
      <c r="F5" s="49" t="s">
        <v>19</v>
      </c>
      <c r="G5" s="50"/>
      <c r="H5" s="12">
        <f>COUNTIF(PROVINCE,F5)</f>
        <v>7</v>
      </c>
      <c r="K5" s="49" t="s">
        <v>108</v>
      </c>
      <c r="L5" s="50"/>
      <c r="M5" s="12">
        <f>COUNTIF(COURSE,K5)</f>
        <v>5</v>
      </c>
    </row>
    <row r="6" spans="2:14" ht="28.15" customHeight="1" x14ac:dyDescent="0.4">
      <c r="B6" s="10" t="s">
        <v>3</v>
      </c>
      <c r="C6" s="40"/>
      <c r="D6" s="2" t="str">
        <f t="shared" ref="D6:D18" si="0">IF(ISBLANK(C6),"","P")</f>
        <v/>
      </c>
      <c r="E6" s="6" t="str">
        <f t="shared" ref="E6:E18" si="1">IF(D6="","*","")</f>
        <v>*</v>
      </c>
      <c r="F6" s="49" t="s">
        <v>20</v>
      </c>
      <c r="G6" s="50"/>
      <c r="H6" s="12">
        <f>COUNTIF(PROVINCE,F6)</f>
        <v>6</v>
      </c>
      <c r="K6" s="49" t="s">
        <v>95</v>
      </c>
      <c r="L6" s="50"/>
      <c r="M6" s="12">
        <f>COUNTIF(COURSE,K6)</f>
        <v>11</v>
      </c>
    </row>
    <row r="7" spans="2:14" ht="28.15" customHeight="1" x14ac:dyDescent="0.4">
      <c r="B7" s="10" t="s">
        <v>4</v>
      </c>
      <c r="C7" s="40"/>
      <c r="D7" s="2" t="str">
        <f t="shared" si="0"/>
        <v/>
      </c>
      <c r="E7" s="6" t="str">
        <f t="shared" si="1"/>
        <v>*</v>
      </c>
      <c r="F7" s="49" t="s">
        <v>21</v>
      </c>
      <c r="G7" s="50"/>
      <c r="H7" s="12">
        <f>COUNTIF(PROVINCE,F7)</f>
        <v>5</v>
      </c>
      <c r="K7" s="49" t="s">
        <v>33</v>
      </c>
      <c r="L7" s="50"/>
      <c r="M7" s="12">
        <f>COUNTIF(COURSE,K7)</f>
        <v>4</v>
      </c>
    </row>
    <row r="8" spans="2:14" ht="28.15" customHeight="1" thickBot="1" x14ac:dyDescent="0.45">
      <c r="B8" s="10" t="s">
        <v>5</v>
      </c>
      <c r="C8" s="40"/>
      <c r="D8" s="2" t="str">
        <f t="shared" si="0"/>
        <v/>
      </c>
      <c r="E8" s="6" t="str">
        <f t="shared" si="1"/>
        <v>*</v>
      </c>
      <c r="F8" s="51" t="s">
        <v>39</v>
      </c>
      <c r="G8" s="52"/>
      <c r="H8" s="13">
        <f>SUM(H4:H7)</f>
        <v>28</v>
      </c>
      <c r="K8" s="51" t="s">
        <v>39</v>
      </c>
      <c r="L8" s="52"/>
      <c r="M8" s="13">
        <f>SUM(M4:M7)</f>
        <v>28</v>
      </c>
    </row>
    <row r="9" spans="2:14" ht="28.15" customHeight="1" thickBot="1" x14ac:dyDescent="0.45">
      <c r="B9" s="10" t="s">
        <v>6</v>
      </c>
      <c r="C9" s="40"/>
      <c r="D9" s="2" t="str">
        <f t="shared" si="0"/>
        <v/>
      </c>
      <c r="E9" s="6" t="str">
        <f t="shared" si="1"/>
        <v>*</v>
      </c>
    </row>
    <row r="10" spans="2:14" ht="28.15" customHeight="1" x14ac:dyDescent="0.4">
      <c r="B10" s="10" t="s">
        <v>15</v>
      </c>
      <c r="C10" s="41"/>
      <c r="D10" s="2" t="str">
        <f t="shared" si="0"/>
        <v/>
      </c>
      <c r="E10" s="6" t="str">
        <f t="shared" si="1"/>
        <v>*</v>
      </c>
      <c r="F10" s="46" t="s">
        <v>22</v>
      </c>
      <c r="G10" s="47"/>
      <c r="H10" s="48"/>
      <c r="K10" s="46" t="s">
        <v>28</v>
      </c>
      <c r="L10" s="47"/>
      <c r="M10" s="48"/>
    </row>
    <row r="11" spans="2:14" ht="28.15" customHeight="1" x14ac:dyDescent="0.4">
      <c r="B11" s="10" t="s">
        <v>7</v>
      </c>
      <c r="C11" s="40"/>
      <c r="D11" s="2" t="str">
        <f t="shared" si="0"/>
        <v/>
      </c>
      <c r="E11" s="6" t="str">
        <f t="shared" si="1"/>
        <v>*</v>
      </c>
      <c r="F11" s="49" t="s">
        <v>23</v>
      </c>
      <c r="G11" s="50"/>
      <c r="H11" s="12">
        <f>COUNTIF(CIVIL,F11)</f>
        <v>19</v>
      </c>
      <c r="K11" s="49" t="s">
        <v>29</v>
      </c>
      <c r="L11" s="50"/>
      <c r="M11" s="12">
        <f>COUNTIF(RELIGION,K11)</f>
        <v>15</v>
      </c>
    </row>
    <row r="12" spans="2:14" ht="28.15" customHeight="1" x14ac:dyDescent="0.4">
      <c r="B12" s="10" t="s">
        <v>8</v>
      </c>
      <c r="C12" s="40"/>
      <c r="D12" s="2" t="str">
        <f t="shared" si="0"/>
        <v/>
      </c>
      <c r="E12" s="6" t="str">
        <f t="shared" si="1"/>
        <v>*</v>
      </c>
      <c r="F12" s="49" t="s">
        <v>24</v>
      </c>
      <c r="G12" s="50"/>
      <c r="H12" s="12">
        <f>COUNTIF(CIVIL,F12)</f>
        <v>9</v>
      </c>
      <c r="K12" s="49" t="s">
        <v>30</v>
      </c>
      <c r="L12" s="50"/>
      <c r="M12" s="12">
        <f>COUNTIF(RELIGION,K12)</f>
        <v>13</v>
      </c>
    </row>
    <row r="13" spans="2:14" ht="28.15" customHeight="1" thickBot="1" x14ac:dyDescent="0.45">
      <c r="B13" s="10" t="s">
        <v>9</v>
      </c>
      <c r="C13" s="40"/>
      <c r="D13" s="2" t="str">
        <f t="shared" si="0"/>
        <v/>
      </c>
      <c r="E13" s="6" t="str">
        <f t="shared" si="1"/>
        <v>*</v>
      </c>
      <c r="F13" s="51" t="s">
        <v>39</v>
      </c>
      <c r="G13" s="52"/>
      <c r="H13" s="13">
        <f>SUM(H11:H12)</f>
        <v>28</v>
      </c>
      <c r="K13" s="51" t="s">
        <v>39</v>
      </c>
      <c r="L13" s="52"/>
      <c r="M13" s="13">
        <f>SUM(M11:M12)</f>
        <v>28</v>
      </c>
    </row>
    <row r="14" spans="2:14" ht="28.15" customHeight="1" thickBot="1" x14ac:dyDescent="0.45">
      <c r="B14" s="10" t="s">
        <v>10</v>
      </c>
      <c r="C14" s="40"/>
      <c r="D14" s="2" t="str">
        <f t="shared" si="0"/>
        <v/>
      </c>
      <c r="E14" s="6" t="str">
        <f t="shared" si="1"/>
        <v>*</v>
      </c>
    </row>
    <row r="15" spans="2:14" ht="28.15" customHeight="1" x14ac:dyDescent="0.4">
      <c r="B15" s="10" t="s">
        <v>11</v>
      </c>
      <c r="C15" s="42"/>
      <c r="D15" s="2" t="str">
        <f t="shared" si="0"/>
        <v/>
      </c>
      <c r="E15" s="6" t="str">
        <f t="shared" si="1"/>
        <v>*</v>
      </c>
      <c r="F15" s="46" t="s">
        <v>25</v>
      </c>
      <c r="G15" s="47"/>
      <c r="H15" s="48"/>
      <c r="K15" s="46" t="s">
        <v>34</v>
      </c>
      <c r="L15" s="47"/>
      <c r="M15" s="48"/>
    </row>
    <row r="16" spans="2:14" ht="28.15" customHeight="1" x14ac:dyDescent="0.4">
      <c r="B16" s="10" t="s">
        <v>12</v>
      </c>
      <c r="C16" s="40"/>
      <c r="D16" s="2" t="str">
        <f t="shared" si="0"/>
        <v/>
      </c>
      <c r="E16" s="6" t="str">
        <f t="shared" si="1"/>
        <v>*</v>
      </c>
      <c r="F16" s="49" t="s">
        <v>26</v>
      </c>
      <c r="G16" s="50"/>
      <c r="H16" s="12">
        <f>COUNTIF(GENDER,F16)</f>
        <v>11</v>
      </c>
      <c r="K16" s="49" t="s">
        <v>35</v>
      </c>
      <c r="L16" s="50"/>
      <c r="M16" s="12">
        <f>COUNTIF(MEDIUM,K16)</f>
        <v>15</v>
      </c>
    </row>
    <row r="17" spans="2:13" ht="28.15" customHeight="1" x14ac:dyDescent="0.4">
      <c r="B17" s="10" t="s">
        <v>13</v>
      </c>
      <c r="C17" s="40"/>
      <c r="D17" s="2" t="str">
        <f t="shared" si="0"/>
        <v/>
      </c>
      <c r="E17" s="6" t="str">
        <f t="shared" si="1"/>
        <v>*</v>
      </c>
      <c r="F17" s="49" t="s">
        <v>27</v>
      </c>
      <c r="G17" s="50"/>
      <c r="H17" s="12">
        <f>COUNTIF(GENDER,F17)</f>
        <v>17</v>
      </c>
      <c r="K17" s="49" t="s">
        <v>36</v>
      </c>
      <c r="L17" s="50"/>
      <c r="M17" s="12">
        <f>COUNTIF(MEDIUM,K17)</f>
        <v>5</v>
      </c>
    </row>
    <row r="18" spans="2:13" ht="28.15" customHeight="1" thickBot="1" x14ac:dyDescent="0.45">
      <c r="B18" s="11" t="s">
        <v>14</v>
      </c>
      <c r="C18" s="43"/>
      <c r="D18" s="2" t="str">
        <f t="shared" si="0"/>
        <v/>
      </c>
      <c r="E18" s="6" t="str">
        <f t="shared" si="1"/>
        <v>*</v>
      </c>
      <c r="F18" s="51" t="s">
        <v>39</v>
      </c>
      <c r="G18" s="52"/>
      <c r="H18" s="13">
        <f>SUM(H16:H17)</f>
        <v>28</v>
      </c>
      <c r="K18" s="49" t="s">
        <v>37</v>
      </c>
      <c r="L18" s="50"/>
      <c r="M18" s="12">
        <f>COUNTIF(MEDIUM,K18)</f>
        <v>6</v>
      </c>
    </row>
    <row r="19" spans="2:13" ht="26.45" customHeight="1" x14ac:dyDescent="0.25">
      <c r="K19" s="49" t="s">
        <v>38</v>
      </c>
      <c r="L19" s="50"/>
      <c r="M19" s="12">
        <f>COUNTIF(MEDIUM,K19)</f>
        <v>2</v>
      </c>
    </row>
    <row r="20" spans="2:13" ht="28.9" customHeight="1" thickBot="1" x14ac:dyDescent="0.3">
      <c r="K20" s="51" t="s">
        <v>39</v>
      </c>
      <c r="L20" s="52"/>
      <c r="M20" s="13">
        <f>SUM(M16:M19)</f>
        <v>28</v>
      </c>
    </row>
  </sheetData>
  <sheetProtection password="F872" sheet="1" objects="1" scenarios="1"/>
  <mergeCells count="32">
    <mergeCell ref="F8:G8"/>
    <mergeCell ref="F18:G18"/>
    <mergeCell ref="K20:L20"/>
    <mergeCell ref="K13:L13"/>
    <mergeCell ref="K8:L8"/>
    <mergeCell ref="K19:L19"/>
    <mergeCell ref="F17:G17"/>
    <mergeCell ref="F11:G11"/>
    <mergeCell ref="F12:G12"/>
    <mergeCell ref="F13:G13"/>
    <mergeCell ref="F15:H15"/>
    <mergeCell ref="F16:G16"/>
    <mergeCell ref="F10:H10"/>
    <mergeCell ref="K15:M15"/>
    <mergeCell ref="K16:L16"/>
    <mergeCell ref="K17:L17"/>
    <mergeCell ref="K18:L18"/>
    <mergeCell ref="K10:M10"/>
    <mergeCell ref="K11:L11"/>
    <mergeCell ref="K12:L12"/>
    <mergeCell ref="F6:G6"/>
    <mergeCell ref="F7:G7"/>
    <mergeCell ref="K3:M3"/>
    <mergeCell ref="K4:L4"/>
    <mergeCell ref="K5:L5"/>
    <mergeCell ref="K6:L6"/>
    <mergeCell ref="K7:L7"/>
    <mergeCell ref="B1:C1"/>
    <mergeCell ref="F3:H3"/>
    <mergeCell ref="F1:M1"/>
    <mergeCell ref="F4:G4"/>
    <mergeCell ref="F5:G5"/>
  </mergeCells>
  <dataValidations count="11">
    <dataValidation type="custom" showInputMessage="1" showErrorMessage="1" error="Please Enter 5 Digit Number" sqref="C3" xr:uid="{00000000-0002-0000-0000-000000000000}">
      <formula1>AND(ISNUMBER(C3),LEN(C3)=5)</formula1>
    </dataValidation>
    <dataValidation type="custom" allowBlank="1" showInputMessage="1" showErrorMessage="1" error="Please Enter Uppercase Full Name" sqref="C5" xr:uid="{00000000-0002-0000-0000-000001000000}">
      <formula1>AND(EXACT(UPPER(C5), C5),ISTEXT(C5))</formula1>
    </dataValidation>
    <dataValidation type="custom" allowBlank="1" showInputMessage="1" showErrorMessage="1" error="Please Enter 6 Digit Number" sqref="C8" xr:uid="{00000000-0002-0000-0000-000002000000}">
      <formula1>AND(ISNUMBER(C8),LEN(C8) = 6)</formula1>
    </dataValidation>
    <dataValidation type="list" allowBlank="1" showInputMessage="1" showErrorMessage="1" sqref="C9" xr:uid="{00000000-0002-0000-0000-000003000000}">
      <formula1>"EAST, WEEST, SOUTH, NORTH"</formula1>
    </dataValidation>
    <dataValidation type="list" allowBlank="1" showInputMessage="1" showErrorMessage="1" sqref="C11" xr:uid="{00000000-0002-0000-0000-000004000000}">
      <formula1>"SINGLE, MARRIED"</formula1>
    </dataValidation>
    <dataValidation type="list" allowBlank="1" showInputMessage="1" showErrorMessage="1" sqref="C12" xr:uid="{00000000-0002-0000-0000-000005000000}">
      <formula1>"FEMALE, MALE"</formula1>
    </dataValidation>
    <dataValidation type="list" allowBlank="1" showInputMessage="1" showErrorMessage="1" sqref="C13" xr:uid="{00000000-0002-0000-0000-000006000000}">
      <formula1>"ISLAM, CHRISTIAN"</formula1>
    </dataValidation>
    <dataValidation type="custom" allowBlank="1" showInputMessage="1" showErrorMessage="1" error="Please Enter 9 Digit Number" sqref="C14" xr:uid="{00000000-0002-0000-0000-000007000000}">
      <formula1>AND(ISNUMBER(C14),LEN(C14) = 9)</formula1>
    </dataValidation>
    <dataValidation type="date" allowBlank="1" showInputMessage="1" showErrorMessage="1" error="Please Enter Valid Date" sqref="C15" xr:uid="{00000000-0002-0000-0000-000008000000}">
      <formula1>1</formula1>
      <formula2>44197</formula2>
    </dataValidation>
    <dataValidation type="list" allowBlank="1" showInputMessage="1" showErrorMessage="1" sqref="C16" xr:uid="{00000000-0002-0000-0000-000009000000}">
      <formula1>"MARKETING, HRM, FINANACE,  IT"</formula1>
    </dataValidation>
    <dataValidation type="list" allowBlank="1" showInputMessage="1" showErrorMessage="1" sqref="C17" xr:uid="{00000000-0002-0000-0000-00000A000000}">
      <formula1>"ENGLISH, YORUBA, IGBO, HAUSA"</formula1>
    </dataValidation>
  </dataValidations>
  <pageMargins left="0.7" right="0.7" top="0.75" bottom="0.75" header="0.3" footer="0.3"/>
  <pageSetup orientation="portrait" r:id="rId1"/>
  <ignoredErrors>
    <ignoredError sqref="D5:D18 D3 B4 H4:H7 H11:H12 H16:H17 M11:M12 M16:M19 M4:M7" emptyCellReference="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29"/>
  <sheetViews>
    <sheetView zoomScale="85" zoomScaleNormal="85" workbookViewId="0">
      <selection activeCell="B35" sqref="B35"/>
    </sheetView>
  </sheetViews>
  <sheetFormatPr defaultRowHeight="15" x14ac:dyDescent="0.25"/>
  <cols>
    <col min="1" max="1" width="14.42578125" style="93" bestFit="1" customWidth="1"/>
    <col min="2" max="2" width="20.85546875" style="93" bestFit="1" customWidth="1"/>
    <col min="3" max="3" width="23.7109375" style="93" bestFit="1" customWidth="1"/>
    <col min="4" max="4" width="15" style="93" bestFit="1" customWidth="1"/>
    <col min="5" max="5" width="14.7109375" style="93" bestFit="1" customWidth="1"/>
    <col min="6" max="6" width="16.140625" style="93" bestFit="1" customWidth="1"/>
    <col min="7" max="7" width="30.5703125" style="93" bestFit="1" customWidth="1"/>
    <col min="8" max="8" width="20.28515625" style="93" bestFit="1" customWidth="1"/>
    <col min="9" max="9" width="13.140625" style="93" bestFit="1" customWidth="1"/>
    <col min="10" max="10" width="15.42578125" style="93" bestFit="1" customWidth="1"/>
    <col min="11" max="11" width="15.5703125" style="93" bestFit="1" customWidth="1"/>
    <col min="12" max="12" width="33.42578125" style="93" bestFit="1" customWidth="1"/>
    <col min="13" max="13" width="40" style="93" bestFit="1" customWidth="1"/>
    <col min="14" max="14" width="13.42578125" style="93" bestFit="1" customWidth="1"/>
    <col min="15" max="15" width="29.42578125" style="93" bestFit="1" customWidth="1"/>
  </cols>
  <sheetData>
    <row r="1" spans="1:15" s="44" customFormat="1" ht="15.75" x14ac:dyDescent="0.25">
      <c r="A1" s="87" t="s">
        <v>1</v>
      </c>
      <c r="B1" s="88" t="s">
        <v>2</v>
      </c>
      <c r="C1" s="88" t="s">
        <v>3</v>
      </c>
      <c r="D1" s="88" t="s">
        <v>4</v>
      </c>
      <c r="E1" s="88" t="s">
        <v>5</v>
      </c>
      <c r="F1" s="88" t="s">
        <v>6</v>
      </c>
      <c r="G1" s="88" t="s">
        <v>15</v>
      </c>
      <c r="H1" s="88" t="s">
        <v>7</v>
      </c>
      <c r="I1" s="88" t="s">
        <v>8</v>
      </c>
      <c r="J1" s="88" t="s">
        <v>9</v>
      </c>
      <c r="K1" s="88" t="s">
        <v>10</v>
      </c>
      <c r="L1" s="88" t="s">
        <v>11</v>
      </c>
      <c r="M1" s="88" t="s">
        <v>12</v>
      </c>
      <c r="N1" s="88" t="s">
        <v>13</v>
      </c>
      <c r="O1" s="88" t="s">
        <v>14</v>
      </c>
    </row>
    <row r="2" spans="1:15" s="16" customFormat="1" ht="15.75" x14ac:dyDescent="0.25">
      <c r="A2" s="89">
        <v>10001</v>
      </c>
      <c r="B2" s="90" t="s">
        <v>40</v>
      </c>
      <c r="C2" s="90" t="s">
        <v>41</v>
      </c>
      <c r="D2" s="90" t="s">
        <v>42</v>
      </c>
      <c r="E2" s="90">
        <v>123456</v>
      </c>
      <c r="F2" s="90" t="s">
        <v>16</v>
      </c>
      <c r="G2" s="91" t="s">
        <v>43</v>
      </c>
      <c r="H2" s="90" t="s">
        <v>23</v>
      </c>
      <c r="I2" s="90" t="s">
        <v>27</v>
      </c>
      <c r="J2" s="90" t="s">
        <v>29</v>
      </c>
      <c r="K2" s="90">
        <v>123456789</v>
      </c>
      <c r="L2" s="92">
        <v>34760</v>
      </c>
      <c r="M2" s="90" t="s">
        <v>32</v>
      </c>
      <c r="N2" s="90" t="s">
        <v>35</v>
      </c>
      <c r="O2" s="92">
        <v>45376</v>
      </c>
    </row>
    <row r="3" spans="1:15" s="16" customFormat="1" ht="15.75" x14ac:dyDescent="0.25">
      <c r="A3" s="89">
        <v>10002</v>
      </c>
      <c r="B3" s="90" t="s">
        <v>44</v>
      </c>
      <c r="C3" s="90" t="s">
        <v>41</v>
      </c>
      <c r="D3" s="90" t="s">
        <v>42</v>
      </c>
      <c r="E3" s="90">
        <v>123456</v>
      </c>
      <c r="F3" s="90" t="s">
        <v>16</v>
      </c>
      <c r="G3" s="91" t="s">
        <v>43</v>
      </c>
      <c r="H3" s="90" t="s">
        <v>23</v>
      </c>
      <c r="I3" s="90" t="s">
        <v>27</v>
      </c>
      <c r="J3" s="90" t="s">
        <v>29</v>
      </c>
      <c r="K3" s="90">
        <v>123456789</v>
      </c>
      <c r="L3" s="92">
        <v>34760</v>
      </c>
      <c r="M3" s="90" t="s">
        <v>32</v>
      </c>
      <c r="N3" s="90" t="s">
        <v>35</v>
      </c>
      <c r="O3" s="92">
        <v>45376</v>
      </c>
    </row>
    <row r="4" spans="1:15" s="16" customFormat="1" ht="15.75" x14ac:dyDescent="0.25">
      <c r="A4" s="89">
        <v>10003</v>
      </c>
      <c r="B4" s="90" t="s">
        <v>45</v>
      </c>
      <c r="C4" s="90" t="s">
        <v>41</v>
      </c>
      <c r="D4" s="90" t="s">
        <v>42</v>
      </c>
      <c r="E4" s="90">
        <v>123456</v>
      </c>
      <c r="F4" s="90" t="s">
        <v>16</v>
      </c>
      <c r="G4" s="91" t="s">
        <v>43</v>
      </c>
      <c r="H4" s="90" t="s">
        <v>23</v>
      </c>
      <c r="I4" s="90" t="s">
        <v>27</v>
      </c>
      <c r="J4" s="90" t="s">
        <v>29</v>
      </c>
      <c r="K4" s="90">
        <v>123456789</v>
      </c>
      <c r="L4" s="92">
        <v>34760</v>
      </c>
      <c r="M4" s="90" t="s">
        <v>32</v>
      </c>
      <c r="N4" s="90" t="s">
        <v>35</v>
      </c>
      <c r="O4" s="92">
        <v>45376</v>
      </c>
    </row>
    <row r="5" spans="1:15" s="16" customFormat="1" ht="15.75" x14ac:dyDescent="0.25">
      <c r="A5" s="89">
        <v>10004</v>
      </c>
      <c r="B5" s="90" t="s">
        <v>46</v>
      </c>
      <c r="C5" s="90" t="s">
        <v>41</v>
      </c>
      <c r="D5" s="90" t="s">
        <v>42</v>
      </c>
      <c r="E5" s="90">
        <v>123456</v>
      </c>
      <c r="F5" s="90" t="s">
        <v>16</v>
      </c>
      <c r="G5" s="91" t="s">
        <v>43</v>
      </c>
      <c r="H5" s="90" t="s">
        <v>23</v>
      </c>
      <c r="I5" s="90" t="s">
        <v>27</v>
      </c>
      <c r="J5" s="90" t="s">
        <v>29</v>
      </c>
      <c r="K5" s="90">
        <v>123456789</v>
      </c>
      <c r="L5" s="92">
        <v>34760</v>
      </c>
      <c r="M5" s="90" t="s">
        <v>32</v>
      </c>
      <c r="N5" s="90" t="s">
        <v>35</v>
      </c>
      <c r="O5" s="92">
        <v>45376</v>
      </c>
    </row>
    <row r="6" spans="1:15" s="16" customFormat="1" ht="15.75" x14ac:dyDescent="0.25">
      <c r="A6" s="89">
        <v>10005</v>
      </c>
      <c r="B6" s="90" t="s">
        <v>65</v>
      </c>
      <c r="C6" s="90" t="s">
        <v>78</v>
      </c>
      <c r="D6" s="90" t="s">
        <v>66</v>
      </c>
      <c r="E6" s="90">
        <v>789012</v>
      </c>
      <c r="F6" s="90" t="s">
        <v>67</v>
      </c>
      <c r="G6" s="91" t="s">
        <v>68</v>
      </c>
      <c r="H6" s="90" t="s">
        <v>69</v>
      </c>
      <c r="I6" s="90" t="s">
        <v>70</v>
      </c>
      <c r="J6" s="90" t="s">
        <v>30</v>
      </c>
      <c r="K6" s="90">
        <v>987654321</v>
      </c>
      <c r="L6" s="92" t="s">
        <v>71</v>
      </c>
      <c r="M6" s="90" t="s">
        <v>95</v>
      </c>
      <c r="N6" s="90" t="s">
        <v>72</v>
      </c>
      <c r="O6" s="92" t="s">
        <v>73</v>
      </c>
    </row>
    <row r="7" spans="1:15" s="16" customFormat="1" ht="15.75" x14ac:dyDescent="0.25">
      <c r="A7" s="89">
        <v>10006</v>
      </c>
      <c r="B7" s="90" t="s">
        <v>79</v>
      </c>
      <c r="C7" s="90" t="s">
        <v>80</v>
      </c>
      <c r="D7" s="90" t="s">
        <v>81</v>
      </c>
      <c r="E7" s="90">
        <v>456789</v>
      </c>
      <c r="F7" s="90" t="s">
        <v>82</v>
      </c>
      <c r="G7" s="91" t="s">
        <v>83</v>
      </c>
      <c r="H7" s="90" t="s">
        <v>84</v>
      </c>
      <c r="I7" s="90" t="s">
        <v>85</v>
      </c>
      <c r="J7" s="90" t="s">
        <v>30</v>
      </c>
      <c r="K7" s="90">
        <v>456123789</v>
      </c>
      <c r="L7" s="92" t="s">
        <v>86</v>
      </c>
      <c r="M7" s="90" t="s">
        <v>95</v>
      </c>
      <c r="N7" s="90" t="s">
        <v>72</v>
      </c>
      <c r="O7" s="92" t="s">
        <v>87</v>
      </c>
    </row>
    <row r="8" spans="1:15" s="16" customFormat="1" ht="15.75" x14ac:dyDescent="0.25">
      <c r="A8" s="89">
        <v>10007</v>
      </c>
      <c r="B8" s="90" t="s">
        <v>88</v>
      </c>
      <c r="C8" s="90" t="s">
        <v>89</v>
      </c>
      <c r="D8" s="90" t="s">
        <v>90</v>
      </c>
      <c r="E8" s="90">
        <v>654321</v>
      </c>
      <c r="F8" s="90" t="s">
        <v>91</v>
      </c>
      <c r="G8" s="91" t="s">
        <v>92</v>
      </c>
      <c r="H8" s="90" t="s">
        <v>69</v>
      </c>
      <c r="I8" s="90" t="s">
        <v>70</v>
      </c>
      <c r="J8" s="90" t="s">
        <v>30</v>
      </c>
      <c r="K8" s="90">
        <v>321654987</v>
      </c>
      <c r="L8" s="92" t="s">
        <v>93</v>
      </c>
      <c r="M8" s="90" t="s">
        <v>95</v>
      </c>
      <c r="N8" s="90" t="s">
        <v>72</v>
      </c>
      <c r="O8" s="92" t="s">
        <v>94</v>
      </c>
    </row>
    <row r="9" spans="1:15" s="16" customFormat="1" ht="15.75" x14ac:dyDescent="0.25">
      <c r="A9" s="89">
        <v>10008</v>
      </c>
      <c r="B9" s="90" t="s">
        <v>96</v>
      </c>
      <c r="C9" s="90" t="s">
        <v>97</v>
      </c>
      <c r="D9" s="90" t="s">
        <v>98</v>
      </c>
      <c r="E9" s="90">
        <v>987654</v>
      </c>
      <c r="F9" s="90" t="s">
        <v>75</v>
      </c>
      <c r="G9" s="91" t="s">
        <v>99</v>
      </c>
      <c r="H9" s="90" t="s">
        <v>24</v>
      </c>
      <c r="I9" s="90" t="s">
        <v>85</v>
      </c>
      <c r="J9" s="90" t="s">
        <v>30</v>
      </c>
      <c r="K9" s="90">
        <v>789456123</v>
      </c>
      <c r="L9" s="92" t="s">
        <v>100</v>
      </c>
      <c r="M9" s="90" t="s">
        <v>95</v>
      </c>
      <c r="N9" s="90" t="s">
        <v>72</v>
      </c>
      <c r="O9" s="92" t="s">
        <v>101</v>
      </c>
    </row>
    <row r="10" spans="1:15" s="16" customFormat="1" ht="15.75" x14ac:dyDescent="0.25">
      <c r="A10" s="89">
        <v>10009</v>
      </c>
      <c r="B10" s="90" t="s">
        <v>102</v>
      </c>
      <c r="C10" s="90" t="s">
        <v>103</v>
      </c>
      <c r="D10" s="90" t="s">
        <v>104</v>
      </c>
      <c r="E10" s="90">
        <v>369258</v>
      </c>
      <c r="F10" s="90" t="s">
        <v>67</v>
      </c>
      <c r="G10" s="91" t="s">
        <v>105</v>
      </c>
      <c r="H10" s="90" t="s">
        <v>69</v>
      </c>
      <c r="I10" s="90" t="s">
        <v>70</v>
      </c>
      <c r="J10" s="90" t="s">
        <v>29</v>
      </c>
      <c r="K10" s="90">
        <v>258369147</v>
      </c>
      <c r="L10" s="92" t="s">
        <v>106</v>
      </c>
      <c r="M10" s="90" t="s">
        <v>108</v>
      </c>
      <c r="N10" s="90" t="s">
        <v>72</v>
      </c>
      <c r="O10" s="92" t="s">
        <v>107</v>
      </c>
    </row>
    <row r="11" spans="1:15" s="16" customFormat="1" ht="15.75" x14ac:dyDescent="0.25">
      <c r="A11" s="89">
        <v>10010</v>
      </c>
      <c r="B11" s="90" t="s">
        <v>109</v>
      </c>
      <c r="C11" s="90" t="s">
        <v>110</v>
      </c>
      <c r="D11" s="90" t="s">
        <v>111</v>
      </c>
      <c r="E11" s="90">
        <v>159357</v>
      </c>
      <c r="F11" s="90" t="s">
        <v>82</v>
      </c>
      <c r="G11" s="91" t="s">
        <v>112</v>
      </c>
      <c r="H11" s="90" t="s">
        <v>84</v>
      </c>
      <c r="I11" s="90" t="s">
        <v>26</v>
      </c>
      <c r="J11" s="90" t="s">
        <v>30</v>
      </c>
      <c r="K11" s="90">
        <v>753951456</v>
      </c>
      <c r="L11" s="92" t="s">
        <v>113</v>
      </c>
      <c r="M11" s="90" t="s">
        <v>32</v>
      </c>
      <c r="N11" s="90" t="s">
        <v>36</v>
      </c>
      <c r="O11" s="92" t="s">
        <v>114</v>
      </c>
    </row>
    <row r="12" spans="1:15" s="16" customFormat="1" ht="15.75" x14ac:dyDescent="0.25">
      <c r="A12" s="89">
        <v>10011</v>
      </c>
      <c r="B12" s="90" t="s">
        <v>115</v>
      </c>
      <c r="C12" s="90" t="s">
        <v>116</v>
      </c>
      <c r="D12" s="90" t="s">
        <v>117</v>
      </c>
      <c r="E12" s="90">
        <v>357951</v>
      </c>
      <c r="F12" s="90" t="s">
        <v>91</v>
      </c>
      <c r="G12" s="91" t="s">
        <v>118</v>
      </c>
      <c r="H12" s="90" t="s">
        <v>69</v>
      </c>
      <c r="I12" s="90" t="s">
        <v>70</v>
      </c>
      <c r="J12" s="90" t="s">
        <v>29</v>
      </c>
      <c r="K12" s="90">
        <v>951357456</v>
      </c>
      <c r="L12" s="92" t="s">
        <v>119</v>
      </c>
      <c r="M12" s="90" t="s">
        <v>32</v>
      </c>
      <c r="N12" s="90" t="s">
        <v>37</v>
      </c>
      <c r="O12" s="92" t="s">
        <v>120</v>
      </c>
    </row>
    <row r="13" spans="1:15" s="16" customFormat="1" ht="15.75" x14ac:dyDescent="0.25">
      <c r="A13" s="89">
        <v>10012</v>
      </c>
      <c r="B13" s="90" t="s">
        <v>121</v>
      </c>
      <c r="C13" s="90" t="s">
        <v>122</v>
      </c>
      <c r="D13" s="90" t="s">
        <v>123</v>
      </c>
      <c r="E13" s="90">
        <v>258369</v>
      </c>
      <c r="F13" s="90" t="s">
        <v>75</v>
      </c>
      <c r="G13" s="91" t="s">
        <v>124</v>
      </c>
      <c r="H13" s="90" t="s">
        <v>69</v>
      </c>
      <c r="I13" s="90" t="s">
        <v>26</v>
      </c>
      <c r="J13" s="90" t="s">
        <v>29</v>
      </c>
      <c r="K13" s="90">
        <v>852369741</v>
      </c>
      <c r="L13" s="92" t="s">
        <v>125</v>
      </c>
      <c r="M13" s="90" t="s">
        <v>33</v>
      </c>
      <c r="N13" s="90" t="s">
        <v>38</v>
      </c>
      <c r="O13" s="92" t="s">
        <v>126</v>
      </c>
    </row>
    <row r="14" spans="1:15" s="16" customFormat="1" ht="15.75" x14ac:dyDescent="0.25">
      <c r="A14" s="89">
        <v>10013</v>
      </c>
      <c r="B14" s="90" t="s">
        <v>127</v>
      </c>
      <c r="C14" s="90" t="s">
        <v>128</v>
      </c>
      <c r="D14" s="90" t="s">
        <v>129</v>
      </c>
      <c r="E14" s="90">
        <v>147852</v>
      </c>
      <c r="F14" s="90" t="s">
        <v>67</v>
      </c>
      <c r="G14" s="91" t="s">
        <v>130</v>
      </c>
      <c r="H14" s="90" t="s">
        <v>84</v>
      </c>
      <c r="I14" s="90" t="s">
        <v>70</v>
      </c>
      <c r="J14" s="90" t="s">
        <v>30</v>
      </c>
      <c r="K14" s="90">
        <v>654987321</v>
      </c>
      <c r="L14" s="92" t="s">
        <v>131</v>
      </c>
      <c r="M14" s="90" t="s">
        <v>108</v>
      </c>
      <c r="N14" s="90" t="s">
        <v>37</v>
      </c>
      <c r="O14" s="92" t="s">
        <v>132</v>
      </c>
    </row>
    <row r="15" spans="1:15" s="16" customFormat="1" ht="15.75" x14ac:dyDescent="0.25">
      <c r="A15" s="89">
        <v>10014</v>
      </c>
      <c r="B15" s="90" t="s">
        <v>133</v>
      </c>
      <c r="C15" s="90" t="s">
        <v>134</v>
      </c>
      <c r="D15" s="90" t="s">
        <v>135</v>
      </c>
      <c r="E15" s="90">
        <v>951753</v>
      </c>
      <c r="F15" s="90" t="s">
        <v>82</v>
      </c>
      <c r="G15" s="91" t="s">
        <v>136</v>
      </c>
      <c r="H15" s="90" t="s">
        <v>69</v>
      </c>
      <c r="I15" s="90" t="s">
        <v>85</v>
      </c>
      <c r="J15" s="90" t="s">
        <v>29</v>
      </c>
      <c r="K15" s="90">
        <v>753951456</v>
      </c>
      <c r="L15" s="92" t="s">
        <v>137</v>
      </c>
      <c r="M15" s="90" t="s">
        <v>95</v>
      </c>
      <c r="N15" s="90" t="s">
        <v>72</v>
      </c>
      <c r="O15" s="92" t="s">
        <v>77</v>
      </c>
    </row>
    <row r="16" spans="1:15" s="16" customFormat="1" ht="15.75" x14ac:dyDescent="0.25">
      <c r="A16" s="89">
        <v>10015</v>
      </c>
      <c r="B16" s="90" t="s">
        <v>138</v>
      </c>
      <c r="C16" s="90" t="s">
        <v>139</v>
      </c>
      <c r="D16" s="90" t="s">
        <v>140</v>
      </c>
      <c r="E16" s="90">
        <v>654987</v>
      </c>
      <c r="F16" s="90" t="s">
        <v>91</v>
      </c>
      <c r="G16" s="91" t="s">
        <v>141</v>
      </c>
      <c r="H16" s="90" t="s">
        <v>69</v>
      </c>
      <c r="I16" s="90" t="s">
        <v>70</v>
      </c>
      <c r="J16" s="90" t="s">
        <v>29</v>
      </c>
      <c r="K16" s="90">
        <v>357951852</v>
      </c>
      <c r="L16" s="92" t="s">
        <v>142</v>
      </c>
      <c r="M16" s="90" t="s">
        <v>33</v>
      </c>
      <c r="N16" s="90" t="s">
        <v>38</v>
      </c>
      <c r="O16" s="92" t="s">
        <v>143</v>
      </c>
    </row>
    <row r="17" spans="1:15" s="16" customFormat="1" ht="15.75" x14ac:dyDescent="0.25">
      <c r="A17" s="89">
        <v>10016</v>
      </c>
      <c r="B17" s="90" t="s">
        <v>144</v>
      </c>
      <c r="C17" s="90" t="s">
        <v>145</v>
      </c>
      <c r="D17" s="90" t="s">
        <v>146</v>
      </c>
      <c r="E17" s="90">
        <v>369147</v>
      </c>
      <c r="F17" s="90" t="s">
        <v>75</v>
      </c>
      <c r="G17" s="91" t="s">
        <v>147</v>
      </c>
      <c r="H17" s="90" t="s">
        <v>84</v>
      </c>
      <c r="I17" s="90" t="s">
        <v>85</v>
      </c>
      <c r="J17" s="90" t="s">
        <v>30</v>
      </c>
      <c r="K17" s="90">
        <v>159357852</v>
      </c>
      <c r="L17" s="92" t="s">
        <v>148</v>
      </c>
      <c r="M17" s="90" t="s">
        <v>95</v>
      </c>
      <c r="N17" s="90" t="s">
        <v>72</v>
      </c>
      <c r="O17" s="92" t="s">
        <v>149</v>
      </c>
    </row>
    <row r="18" spans="1:15" s="16" customFormat="1" ht="15.75" x14ac:dyDescent="0.25">
      <c r="A18" s="89">
        <v>10017</v>
      </c>
      <c r="B18" s="90" t="s">
        <v>150</v>
      </c>
      <c r="C18" s="90" t="s">
        <v>151</v>
      </c>
      <c r="D18" s="90" t="s">
        <v>152</v>
      </c>
      <c r="E18" s="90">
        <v>753951</v>
      </c>
      <c r="F18" s="90" t="s">
        <v>67</v>
      </c>
      <c r="G18" s="91" t="s">
        <v>153</v>
      </c>
      <c r="H18" s="90" t="s">
        <v>84</v>
      </c>
      <c r="I18" s="90" t="s">
        <v>70</v>
      </c>
      <c r="J18" s="90" t="s">
        <v>29</v>
      </c>
      <c r="K18" s="90">
        <v>951753852</v>
      </c>
      <c r="L18" s="92" t="s">
        <v>154</v>
      </c>
      <c r="M18" s="90" t="s">
        <v>108</v>
      </c>
      <c r="N18" s="90" t="s">
        <v>36</v>
      </c>
      <c r="O18" s="92" t="s">
        <v>155</v>
      </c>
    </row>
    <row r="19" spans="1:15" s="16" customFormat="1" ht="15.75" x14ac:dyDescent="0.25">
      <c r="A19" s="89">
        <v>10018</v>
      </c>
      <c r="B19" s="90" t="s">
        <v>156</v>
      </c>
      <c r="C19" s="90" t="s">
        <v>157</v>
      </c>
      <c r="D19" s="90" t="s">
        <v>104</v>
      </c>
      <c r="E19" s="90">
        <v>456789</v>
      </c>
      <c r="F19" s="90" t="s">
        <v>82</v>
      </c>
      <c r="G19" s="91" t="s">
        <v>158</v>
      </c>
      <c r="H19" s="90" t="s">
        <v>69</v>
      </c>
      <c r="I19" s="90" t="s">
        <v>85</v>
      </c>
      <c r="J19" s="90" t="s">
        <v>30</v>
      </c>
      <c r="K19" s="90">
        <v>654987321</v>
      </c>
      <c r="L19" s="92" t="s">
        <v>159</v>
      </c>
      <c r="M19" s="90" t="s">
        <v>32</v>
      </c>
      <c r="N19" s="90" t="s">
        <v>37</v>
      </c>
      <c r="O19" s="92" t="s">
        <v>160</v>
      </c>
    </row>
    <row r="20" spans="1:15" s="16" customFormat="1" ht="15.75" x14ac:dyDescent="0.25">
      <c r="A20" s="89">
        <v>10019</v>
      </c>
      <c r="B20" s="90" t="s">
        <v>161</v>
      </c>
      <c r="C20" s="90" t="s">
        <v>162</v>
      </c>
      <c r="D20" s="90" t="s">
        <v>98</v>
      </c>
      <c r="E20" s="90">
        <v>123789</v>
      </c>
      <c r="F20" s="90" t="s">
        <v>75</v>
      </c>
      <c r="G20" s="91" t="s">
        <v>163</v>
      </c>
      <c r="H20" s="90" t="s">
        <v>84</v>
      </c>
      <c r="I20" s="90" t="s">
        <v>70</v>
      </c>
      <c r="J20" s="90" t="s">
        <v>30</v>
      </c>
      <c r="K20" s="90">
        <v>852369741</v>
      </c>
      <c r="L20" s="92" t="s">
        <v>164</v>
      </c>
      <c r="M20" s="90" t="s">
        <v>108</v>
      </c>
      <c r="N20" s="90" t="s">
        <v>72</v>
      </c>
      <c r="O20" s="92" t="s">
        <v>165</v>
      </c>
    </row>
    <row r="21" spans="1:15" s="16" customFormat="1" ht="15.75" x14ac:dyDescent="0.25">
      <c r="A21" s="89">
        <v>10020</v>
      </c>
      <c r="B21" s="90" t="s">
        <v>166</v>
      </c>
      <c r="C21" s="90" t="s">
        <v>167</v>
      </c>
      <c r="D21" s="90" t="s">
        <v>111</v>
      </c>
      <c r="E21" s="90">
        <v>987654</v>
      </c>
      <c r="F21" s="90" t="s">
        <v>91</v>
      </c>
      <c r="G21" s="91" t="s">
        <v>168</v>
      </c>
      <c r="H21" s="90" t="s">
        <v>84</v>
      </c>
      <c r="I21" s="90" t="s">
        <v>85</v>
      </c>
      <c r="J21" s="90" t="s">
        <v>30</v>
      </c>
      <c r="K21" s="90">
        <v>369258147</v>
      </c>
      <c r="L21" s="92" t="s">
        <v>169</v>
      </c>
      <c r="M21" s="90" t="s">
        <v>108</v>
      </c>
      <c r="N21" s="90" t="s">
        <v>72</v>
      </c>
      <c r="O21" s="92" t="s">
        <v>170</v>
      </c>
    </row>
    <row r="22" spans="1:15" s="16" customFormat="1" ht="15.75" x14ac:dyDescent="0.25">
      <c r="A22" s="89">
        <v>10021</v>
      </c>
      <c r="B22" s="90" t="s">
        <v>171</v>
      </c>
      <c r="C22" s="90" t="s">
        <v>172</v>
      </c>
      <c r="D22" s="90" t="s">
        <v>117</v>
      </c>
      <c r="E22" s="90">
        <v>369258</v>
      </c>
      <c r="F22" s="90" t="s">
        <v>67</v>
      </c>
      <c r="G22" s="91" t="s">
        <v>173</v>
      </c>
      <c r="H22" s="90" t="s">
        <v>69</v>
      </c>
      <c r="I22" s="90" t="s">
        <v>70</v>
      </c>
      <c r="J22" s="90" t="s">
        <v>30</v>
      </c>
      <c r="K22" s="90">
        <v>753951456</v>
      </c>
      <c r="L22" s="92" t="s">
        <v>174</v>
      </c>
      <c r="M22" s="90" t="s">
        <v>95</v>
      </c>
      <c r="N22" s="90" t="s">
        <v>36</v>
      </c>
      <c r="O22" s="92" t="s">
        <v>175</v>
      </c>
    </row>
    <row r="23" spans="1:15" s="16" customFormat="1" ht="15.75" x14ac:dyDescent="0.25">
      <c r="A23" s="89">
        <v>10022</v>
      </c>
      <c r="B23" s="90" t="s">
        <v>176</v>
      </c>
      <c r="C23" s="90" t="s">
        <v>177</v>
      </c>
      <c r="D23" s="90" t="s">
        <v>90</v>
      </c>
      <c r="E23" s="90">
        <v>951753</v>
      </c>
      <c r="F23" s="90" t="s">
        <v>82</v>
      </c>
      <c r="G23" s="91" t="s">
        <v>178</v>
      </c>
      <c r="H23" s="90" t="s">
        <v>69</v>
      </c>
      <c r="I23" s="90" t="s">
        <v>85</v>
      </c>
      <c r="J23" s="90" t="s">
        <v>29</v>
      </c>
      <c r="K23" s="90">
        <v>456123789</v>
      </c>
      <c r="L23" s="92" t="s">
        <v>179</v>
      </c>
      <c r="M23" s="90" t="s">
        <v>95</v>
      </c>
      <c r="N23" s="90" t="s">
        <v>72</v>
      </c>
      <c r="O23" s="92" t="s">
        <v>180</v>
      </c>
    </row>
    <row r="24" spans="1:15" s="16" customFormat="1" ht="15.75" x14ac:dyDescent="0.25">
      <c r="A24" s="89">
        <v>10023</v>
      </c>
      <c r="B24" s="90" t="s">
        <v>181</v>
      </c>
      <c r="C24" s="90" t="s">
        <v>182</v>
      </c>
      <c r="D24" s="90" t="s">
        <v>152</v>
      </c>
      <c r="E24" s="90">
        <v>258369</v>
      </c>
      <c r="F24" s="90" t="s">
        <v>75</v>
      </c>
      <c r="G24" s="91" t="s">
        <v>183</v>
      </c>
      <c r="H24" s="90" t="s">
        <v>69</v>
      </c>
      <c r="I24" s="90" t="s">
        <v>70</v>
      </c>
      <c r="J24" s="90" t="s">
        <v>30</v>
      </c>
      <c r="K24" s="90">
        <v>789456123</v>
      </c>
      <c r="L24" s="92" t="s">
        <v>184</v>
      </c>
      <c r="M24" s="90" t="s">
        <v>95</v>
      </c>
      <c r="N24" s="90" t="s">
        <v>37</v>
      </c>
      <c r="O24" s="92" t="s">
        <v>155</v>
      </c>
    </row>
    <row r="25" spans="1:15" s="16" customFormat="1" ht="15.75" x14ac:dyDescent="0.25">
      <c r="A25" s="89">
        <v>10024</v>
      </c>
      <c r="B25" s="90" t="s">
        <v>185</v>
      </c>
      <c r="C25" s="90" t="s">
        <v>186</v>
      </c>
      <c r="D25" s="90" t="s">
        <v>123</v>
      </c>
      <c r="E25" s="90">
        <v>123456</v>
      </c>
      <c r="F25" s="90" t="s">
        <v>67</v>
      </c>
      <c r="G25" s="91" t="s">
        <v>187</v>
      </c>
      <c r="H25" s="90" t="s">
        <v>69</v>
      </c>
      <c r="I25" s="90" t="s">
        <v>85</v>
      </c>
      <c r="J25" s="90" t="s">
        <v>29</v>
      </c>
      <c r="K25" s="90">
        <v>123456789</v>
      </c>
      <c r="L25" s="92" t="s">
        <v>188</v>
      </c>
      <c r="M25" s="90" t="s">
        <v>32</v>
      </c>
      <c r="N25" s="90" t="s">
        <v>36</v>
      </c>
      <c r="O25" s="92" t="s">
        <v>189</v>
      </c>
    </row>
    <row r="26" spans="1:15" s="16" customFormat="1" ht="15.75" x14ac:dyDescent="0.25">
      <c r="A26" s="89">
        <v>10025</v>
      </c>
      <c r="B26" s="90" t="s">
        <v>190</v>
      </c>
      <c r="C26" s="90" t="s">
        <v>191</v>
      </c>
      <c r="D26" s="90" t="s">
        <v>135</v>
      </c>
      <c r="E26" s="90">
        <v>789012</v>
      </c>
      <c r="F26" s="90" t="s">
        <v>82</v>
      </c>
      <c r="G26" s="91" t="s">
        <v>192</v>
      </c>
      <c r="H26" s="90" t="s">
        <v>69</v>
      </c>
      <c r="I26" s="90" t="s">
        <v>70</v>
      </c>
      <c r="J26" s="90" t="s">
        <v>29</v>
      </c>
      <c r="K26" s="90">
        <v>369258147</v>
      </c>
      <c r="L26" s="92" t="s">
        <v>193</v>
      </c>
      <c r="M26" s="90" t="s">
        <v>95</v>
      </c>
      <c r="N26" s="90" t="s">
        <v>37</v>
      </c>
      <c r="O26" s="92" t="s">
        <v>194</v>
      </c>
    </row>
    <row r="27" spans="1:15" s="16" customFormat="1" ht="15.75" x14ac:dyDescent="0.25">
      <c r="A27" s="89">
        <v>10026</v>
      </c>
      <c r="B27" s="90" t="s">
        <v>195</v>
      </c>
      <c r="C27" s="90" t="s">
        <v>196</v>
      </c>
      <c r="D27" s="90" t="s">
        <v>129</v>
      </c>
      <c r="E27" s="90">
        <v>456789</v>
      </c>
      <c r="F27" s="90" t="s">
        <v>91</v>
      </c>
      <c r="G27" s="91" t="s">
        <v>197</v>
      </c>
      <c r="H27" s="90" t="s">
        <v>69</v>
      </c>
      <c r="I27" s="90" t="s">
        <v>70</v>
      </c>
      <c r="J27" s="90" t="s">
        <v>29</v>
      </c>
      <c r="K27" s="90">
        <v>456123789</v>
      </c>
      <c r="L27" s="92" t="s">
        <v>198</v>
      </c>
      <c r="M27" s="90" t="s">
        <v>95</v>
      </c>
      <c r="N27" s="90" t="s">
        <v>37</v>
      </c>
      <c r="O27" s="92" t="s">
        <v>199</v>
      </c>
    </row>
    <row r="28" spans="1:15" s="16" customFormat="1" ht="15.75" x14ac:dyDescent="0.25">
      <c r="A28" s="89">
        <v>10027</v>
      </c>
      <c r="B28" s="90" t="s">
        <v>200</v>
      </c>
      <c r="C28" s="90" t="s">
        <v>201</v>
      </c>
      <c r="D28" s="90" t="s">
        <v>111</v>
      </c>
      <c r="E28" s="90">
        <v>789456</v>
      </c>
      <c r="F28" s="90" t="s">
        <v>75</v>
      </c>
      <c r="G28" s="91" t="s">
        <v>202</v>
      </c>
      <c r="H28" s="90" t="s">
        <v>69</v>
      </c>
      <c r="I28" s="90" t="s">
        <v>85</v>
      </c>
      <c r="J28" s="90" t="s">
        <v>29</v>
      </c>
      <c r="K28" s="90">
        <v>852369741</v>
      </c>
      <c r="L28" s="92" t="s">
        <v>203</v>
      </c>
      <c r="M28" s="90" t="s">
        <v>33</v>
      </c>
      <c r="N28" s="90" t="s">
        <v>35</v>
      </c>
      <c r="O28" s="92" t="s">
        <v>204</v>
      </c>
    </row>
    <row r="29" spans="1:15" s="16" customFormat="1" ht="15.75" x14ac:dyDescent="0.25">
      <c r="A29" s="89">
        <v>10028</v>
      </c>
      <c r="B29" s="90" t="s">
        <v>205</v>
      </c>
      <c r="C29" s="90" t="s">
        <v>206</v>
      </c>
      <c r="D29" s="90" t="s">
        <v>146</v>
      </c>
      <c r="E29" s="90">
        <v>654321</v>
      </c>
      <c r="F29" s="90" t="s">
        <v>67</v>
      </c>
      <c r="G29" s="91" t="s">
        <v>207</v>
      </c>
      <c r="H29" s="90" t="s">
        <v>84</v>
      </c>
      <c r="I29" s="90" t="s">
        <v>70</v>
      </c>
      <c r="J29" s="90" t="s">
        <v>30</v>
      </c>
      <c r="K29" s="90">
        <v>123654789</v>
      </c>
      <c r="L29" s="92" t="s">
        <v>208</v>
      </c>
      <c r="M29" s="90" t="s">
        <v>33</v>
      </c>
      <c r="N29" s="90" t="s">
        <v>36</v>
      </c>
      <c r="O29" s="92" t="s">
        <v>155</v>
      </c>
    </row>
  </sheetData>
  <dataValidations count="11">
    <dataValidation type="custom" showInputMessage="1" showErrorMessage="1" error="Please Enter 5 Digit Number" sqref="A2:A29" xr:uid="{00000000-0002-0000-0100-000000000000}">
      <formula1>AND(ISNUMBER(A2),LEN(A2)=5)</formula1>
    </dataValidation>
    <dataValidation type="list" allowBlank="1" showInputMessage="1" showErrorMessage="1" sqref="N2:N29" xr:uid="{00000000-0002-0000-0100-000001000000}">
      <formula1>"ENGLISH, YORUBA, IGBO, HAUSA"</formula1>
    </dataValidation>
    <dataValidation type="list" allowBlank="1" showInputMessage="1" showErrorMessage="1" sqref="M2:M29" xr:uid="{00000000-0002-0000-0100-000002000000}">
      <formula1>"MARKETING MANAGEMENT, HUMAN RESOURCE MANAGEMENT, FINANACE MANAGEMENT, IT"</formula1>
    </dataValidation>
    <dataValidation type="date" allowBlank="1" showInputMessage="1" showErrorMessage="1" error="Please Enter Valid Date" sqref="L2:L29" xr:uid="{00000000-0002-0000-0100-000003000000}">
      <formula1>1</formula1>
      <formula2>44197</formula2>
    </dataValidation>
    <dataValidation type="custom" allowBlank="1" showInputMessage="1" showErrorMessage="1" error="Please Enter 9 Digit Number" sqref="K2:K29" xr:uid="{00000000-0002-0000-0100-000004000000}">
      <formula1>AND(ISNUMBER(K2),LEN(K2) = 9)</formula1>
    </dataValidation>
    <dataValidation type="list" allowBlank="1" showInputMessage="1" showErrorMessage="1" sqref="J2:J29" xr:uid="{00000000-0002-0000-0100-000005000000}">
      <formula1>"ISLAM, CHRISTIAN"</formula1>
    </dataValidation>
    <dataValidation type="list" allowBlank="1" showInputMessage="1" showErrorMessage="1" sqref="I2:I29" xr:uid="{00000000-0002-0000-0100-000006000000}">
      <formula1>"FEMALE, MALE"</formula1>
    </dataValidation>
    <dataValidation type="list" allowBlank="1" showInputMessage="1" showErrorMessage="1" sqref="H2:H29" xr:uid="{00000000-0002-0000-0100-000007000000}">
      <formula1>"SINGLE, MARRIED"</formula1>
    </dataValidation>
    <dataValidation type="list" allowBlank="1" showInputMessage="1" showErrorMessage="1" sqref="F2:F29" xr:uid="{00000000-0002-0000-0100-000008000000}">
      <formula1>"EAST, WEEST, SOUTH, NORTH"</formula1>
    </dataValidation>
    <dataValidation type="custom" allowBlank="1" showInputMessage="1" showErrorMessage="1" error="Please Enter 6 Digit Number" sqref="E2:E29" xr:uid="{00000000-0002-0000-0100-000009000000}">
      <formula1>AND(ISNUMBER(E2),LEN(E2) = 6)</formula1>
    </dataValidation>
    <dataValidation type="custom" allowBlank="1" showInputMessage="1" showErrorMessage="1" error="Please Enter Uppercase Full Name" sqref="B2:B29" xr:uid="{00000000-0002-0000-0100-00000A000000}">
      <formula1>AND(EXACT(UPPER(B2), B2),ISTEXT(B2))</formula1>
    </dataValidation>
  </dataValidations>
  <hyperlinks>
    <hyperlink ref="G2" r:id="rId1" xr:uid="{00000000-0004-0000-0100-000000000000}"/>
  </hyperlinks>
  <pageMargins left="0.7" right="0.7" top="0.75" bottom="0.75" header="0.3" footer="0.3"/>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H39"/>
  <sheetViews>
    <sheetView zoomScaleNormal="100" workbookViewId="0">
      <selection activeCell="M13" sqref="M13"/>
    </sheetView>
  </sheetViews>
  <sheetFormatPr defaultRowHeight="15" x14ac:dyDescent="0.25"/>
  <cols>
    <col min="1" max="1" width="20.7109375" customWidth="1"/>
  </cols>
  <sheetData>
    <row r="1" spans="1:8" ht="21" customHeight="1" x14ac:dyDescent="0.45">
      <c r="A1" s="82"/>
      <c r="B1" s="76" t="s">
        <v>47</v>
      </c>
      <c r="C1" s="76"/>
      <c r="D1" s="76"/>
      <c r="E1" s="76"/>
      <c r="F1" s="76"/>
      <c r="G1" s="76"/>
      <c r="H1" s="77"/>
    </row>
    <row r="2" spans="1:8" ht="21" customHeight="1" x14ac:dyDescent="0.35">
      <c r="A2" s="83"/>
      <c r="B2" s="78" t="s">
        <v>48</v>
      </c>
      <c r="C2" s="78"/>
      <c r="D2" s="78"/>
      <c r="E2" s="78"/>
      <c r="F2" s="78"/>
      <c r="G2" s="78"/>
      <c r="H2" s="79"/>
    </row>
    <row r="3" spans="1:8" ht="21" customHeight="1" x14ac:dyDescent="0.3">
      <c r="A3" s="83"/>
      <c r="B3" s="80" t="s">
        <v>53</v>
      </c>
      <c r="C3" s="80"/>
      <c r="D3" s="80"/>
      <c r="E3" s="80"/>
      <c r="F3" s="80"/>
      <c r="G3" s="80"/>
      <c r="H3" s="81"/>
    </row>
    <row r="4" spans="1:8" ht="21" customHeight="1" x14ac:dyDescent="0.35">
      <c r="A4" s="67" t="s">
        <v>59</v>
      </c>
      <c r="B4" s="68"/>
      <c r="C4" s="68"/>
      <c r="D4" s="68"/>
      <c r="E4" s="68"/>
      <c r="F4" s="68"/>
      <c r="G4" s="68"/>
      <c r="H4" s="69"/>
    </row>
    <row r="5" spans="1:8" ht="21" customHeight="1" x14ac:dyDescent="0.25">
      <c r="A5" s="70" t="s">
        <v>54</v>
      </c>
      <c r="B5" s="71"/>
      <c r="C5" s="71"/>
      <c r="D5" s="71"/>
      <c r="E5" s="71"/>
      <c r="F5" s="71"/>
      <c r="G5" s="71"/>
      <c r="H5" s="72"/>
    </row>
    <row r="6" spans="1:8" ht="21" customHeight="1" x14ac:dyDescent="0.25">
      <c r="A6" s="30" t="s">
        <v>1</v>
      </c>
      <c r="B6" s="53"/>
      <c r="C6" s="53"/>
      <c r="D6" s="53"/>
      <c r="E6" s="53"/>
      <c r="F6" s="53"/>
      <c r="G6" s="53"/>
      <c r="H6" s="54"/>
    </row>
    <row r="7" spans="1:8" ht="21" customHeight="1" x14ac:dyDescent="0.25">
      <c r="A7" s="30" t="s">
        <v>2</v>
      </c>
      <c r="B7" s="53" t="str">
        <f>IFERROR(VLOOKUP(B6,Table2[],2,FALSE),"")</f>
        <v/>
      </c>
      <c r="C7" s="53"/>
      <c r="D7" s="53"/>
      <c r="E7" s="53"/>
      <c r="F7" s="53"/>
      <c r="G7" s="53"/>
      <c r="H7" s="54"/>
    </row>
    <row r="8" spans="1:8" ht="21" customHeight="1" x14ac:dyDescent="0.25">
      <c r="A8" s="30" t="s">
        <v>3</v>
      </c>
      <c r="B8" s="53" t="str">
        <f>IFERROR(VLOOKUP(B6,Table2[],3,FALSE),"")</f>
        <v/>
      </c>
      <c r="C8" s="53"/>
      <c r="D8" s="53"/>
      <c r="E8" s="53"/>
      <c r="F8" s="53"/>
      <c r="G8" s="53"/>
      <c r="H8" s="54"/>
    </row>
    <row r="9" spans="1:8" ht="21" customHeight="1" x14ac:dyDescent="0.25">
      <c r="A9" s="30" t="s">
        <v>55</v>
      </c>
      <c r="B9" s="53" t="str">
        <f>IFERROR(VLOOKUP(B6,Table2[],4,FALSE),"")</f>
        <v/>
      </c>
      <c r="C9" s="53"/>
      <c r="D9" s="53"/>
      <c r="E9" s="53"/>
      <c r="F9" s="53"/>
      <c r="G9" s="53"/>
      <c r="H9" s="54"/>
    </row>
    <row r="10" spans="1:8" ht="21" customHeight="1" x14ac:dyDescent="0.25">
      <c r="A10" s="30" t="s">
        <v>5</v>
      </c>
      <c r="B10" s="53" t="str">
        <f>IFERROR(VLOOKUP(B6,Table2[],5,FALSE),"")</f>
        <v/>
      </c>
      <c r="C10" s="53"/>
      <c r="D10" s="53"/>
      <c r="E10" s="53"/>
      <c r="F10" s="53"/>
      <c r="G10" s="53"/>
      <c r="H10" s="54"/>
    </row>
    <row r="11" spans="1:8" ht="21" customHeight="1" x14ac:dyDescent="0.25">
      <c r="A11" s="30" t="s">
        <v>6</v>
      </c>
      <c r="B11" s="53" t="str">
        <f>IFERROR(VLOOKUP(B6,Table2[],6,FALSE),"")</f>
        <v/>
      </c>
      <c r="C11" s="53"/>
      <c r="D11" s="53"/>
      <c r="E11" s="53"/>
      <c r="F11" s="53"/>
      <c r="G11" s="53"/>
      <c r="H11" s="54"/>
    </row>
    <row r="12" spans="1:8" ht="21" customHeight="1" x14ac:dyDescent="0.25">
      <c r="A12" s="30" t="s">
        <v>15</v>
      </c>
      <c r="B12" s="53" t="str">
        <f>IFERROR(VLOOKUP(B6,Table2[],7,FALSE),"")</f>
        <v/>
      </c>
      <c r="C12" s="53"/>
      <c r="D12" s="53"/>
      <c r="E12" s="53"/>
      <c r="F12" s="53"/>
      <c r="G12" s="53"/>
      <c r="H12" s="54"/>
    </row>
    <row r="13" spans="1:8" ht="21" customHeight="1" x14ac:dyDescent="0.25">
      <c r="A13" s="30" t="s">
        <v>7</v>
      </c>
      <c r="B13" s="53" t="str">
        <f>IFERROR(VLOOKUP(B6,Table2[],8,FALSE),"")</f>
        <v/>
      </c>
      <c r="C13" s="53"/>
      <c r="D13" s="53"/>
      <c r="E13" s="53"/>
      <c r="F13" s="53"/>
      <c r="G13" s="53"/>
      <c r="H13" s="54"/>
    </row>
    <row r="14" spans="1:8" ht="21" customHeight="1" x14ac:dyDescent="0.25">
      <c r="A14" s="30" t="s">
        <v>8</v>
      </c>
      <c r="B14" s="53" t="str">
        <f>IFERROR(VLOOKUP(B6,Table2[],9,FALSE),"")</f>
        <v/>
      </c>
      <c r="C14" s="53"/>
      <c r="D14" s="53"/>
      <c r="E14" s="53"/>
      <c r="F14" s="53"/>
      <c r="G14" s="53"/>
      <c r="H14" s="54"/>
    </row>
    <row r="15" spans="1:8" ht="21" customHeight="1" x14ac:dyDescent="0.25">
      <c r="A15" s="30" t="s">
        <v>10</v>
      </c>
      <c r="B15" s="53" t="str">
        <f>IFERROR(VLOOKUP(B6,Table2[],11,FALSE),"")</f>
        <v/>
      </c>
      <c r="C15" s="53"/>
      <c r="D15" s="53"/>
      <c r="E15" s="53"/>
      <c r="F15" s="53"/>
      <c r="G15" s="53"/>
      <c r="H15" s="54"/>
    </row>
    <row r="16" spans="1:8" ht="21" customHeight="1" x14ac:dyDescent="0.25">
      <c r="A16" s="30" t="s">
        <v>9</v>
      </c>
      <c r="B16" s="53" t="str">
        <f>IFERROR(VLOOKUP(B6,Table2[],10,FALSE),"")</f>
        <v/>
      </c>
      <c r="C16" s="53"/>
      <c r="D16" s="53"/>
      <c r="E16" s="53"/>
      <c r="F16" s="53"/>
      <c r="G16" s="53"/>
      <c r="H16" s="54"/>
    </row>
    <row r="17" spans="1:8" ht="21" customHeight="1" x14ac:dyDescent="0.25">
      <c r="A17" s="30" t="s">
        <v>11</v>
      </c>
      <c r="B17" s="55" t="str">
        <f>IFERROR(VLOOKUP(B6,Table2[],12,FALSE),"")</f>
        <v/>
      </c>
      <c r="C17" s="55"/>
      <c r="D17" s="55"/>
      <c r="E17" s="55"/>
      <c r="F17" s="55"/>
      <c r="G17" s="55"/>
      <c r="H17" s="56"/>
    </row>
    <row r="18" spans="1:8" ht="21" customHeight="1" x14ac:dyDescent="0.25">
      <c r="A18" s="73" t="s">
        <v>56</v>
      </c>
      <c r="B18" s="74"/>
      <c r="C18" s="74"/>
      <c r="D18" s="74"/>
      <c r="E18" s="74"/>
      <c r="F18" s="74"/>
      <c r="G18" s="74"/>
      <c r="H18" s="75"/>
    </row>
    <row r="19" spans="1:8" ht="21" customHeight="1" x14ac:dyDescent="0.25">
      <c r="A19" s="30" t="s">
        <v>57</v>
      </c>
      <c r="B19" s="53" t="str">
        <f>IFERROR(VLOOKUP(B6,Table2[],13,FALSE),"")</f>
        <v/>
      </c>
      <c r="C19" s="53"/>
      <c r="D19" s="53"/>
      <c r="E19" s="53"/>
      <c r="F19" s="53"/>
      <c r="G19" s="53"/>
      <c r="H19" s="54"/>
    </row>
    <row r="20" spans="1:8" ht="21" customHeight="1" x14ac:dyDescent="0.25">
      <c r="A20" s="30" t="s">
        <v>13</v>
      </c>
      <c r="B20" s="53" t="str">
        <f>IFERROR(VLOOKUP(B6,Table2[],14,FALSE),"")</f>
        <v/>
      </c>
      <c r="C20" s="53"/>
      <c r="D20" s="53"/>
      <c r="E20" s="53"/>
      <c r="F20" s="53"/>
      <c r="G20" s="53"/>
      <c r="H20" s="54"/>
    </row>
    <row r="21" spans="1:8" ht="21" customHeight="1" x14ac:dyDescent="0.25">
      <c r="A21" s="30" t="s">
        <v>58</v>
      </c>
      <c r="B21" s="55" t="str">
        <f>IFERROR(VLOOKUP(B6,Table2[],15,FALSE),"")</f>
        <v/>
      </c>
      <c r="C21" s="55"/>
      <c r="D21" s="55"/>
      <c r="E21" s="55"/>
      <c r="F21" s="55"/>
      <c r="G21" s="55"/>
      <c r="H21" s="56"/>
    </row>
    <row r="22" spans="1:8" ht="21" customHeight="1" x14ac:dyDescent="0.25">
      <c r="A22" s="73" t="s">
        <v>60</v>
      </c>
      <c r="B22" s="74"/>
      <c r="C22" s="74"/>
      <c r="D22" s="74"/>
      <c r="E22" s="74"/>
      <c r="F22" s="74"/>
      <c r="G22" s="74"/>
      <c r="H22" s="75"/>
    </row>
    <row r="23" spans="1:8" ht="21" customHeight="1" x14ac:dyDescent="0.25">
      <c r="A23" s="64" t="s">
        <v>49</v>
      </c>
      <c r="B23" s="65"/>
      <c r="C23" s="65"/>
      <c r="D23" s="65"/>
      <c r="E23" s="65"/>
      <c r="F23" s="65"/>
      <c r="G23" s="65"/>
      <c r="H23" s="66"/>
    </row>
    <row r="24" spans="1:8" ht="21" customHeight="1" x14ac:dyDescent="0.25">
      <c r="A24" s="27"/>
      <c r="B24" s="28"/>
      <c r="C24" s="28"/>
      <c r="D24" s="28"/>
      <c r="E24" s="28"/>
      <c r="F24" s="28"/>
      <c r="G24" s="28"/>
      <c r="H24" s="29"/>
    </row>
    <row r="25" spans="1:8" ht="21" customHeight="1" x14ac:dyDescent="0.25">
      <c r="A25" s="17"/>
      <c r="B25" s="15"/>
      <c r="C25" s="15"/>
      <c r="D25" s="15"/>
      <c r="E25" s="15"/>
      <c r="F25" s="15"/>
      <c r="G25" s="15"/>
      <c r="H25" s="18"/>
    </row>
    <row r="26" spans="1:8" ht="21" customHeight="1" x14ac:dyDescent="0.25">
      <c r="A26" s="17"/>
      <c r="B26" s="15"/>
      <c r="C26" s="15"/>
      <c r="D26" s="15"/>
      <c r="E26" s="15"/>
      <c r="F26" s="57" t="s">
        <v>62</v>
      </c>
      <c r="G26" s="58"/>
      <c r="H26" s="59"/>
    </row>
    <row r="27" spans="1:8" ht="21" customHeight="1" x14ac:dyDescent="0.25">
      <c r="A27" s="17"/>
      <c r="B27" s="15"/>
      <c r="C27" s="15"/>
      <c r="D27" s="15"/>
      <c r="E27" s="15"/>
      <c r="F27" s="58" t="s">
        <v>61</v>
      </c>
      <c r="G27" s="58"/>
      <c r="H27" s="59"/>
    </row>
    <row r="28" spans="1:8" ht="21" customHeight="1" x14ac:dyDescent="0.25">
      <c r="A28" s="61" t="s">
        <v>50</v>
      </c>
      <c r="B28" s="62"/>
      <c r="C28" s="62"/>
      <c r="D28" s="62"/>
      <c r="E28" s="62"/>
      <c r="F28" s="62"/>
      <c r="G28" s="62"/>
      <c r="H28" s="63"/>
    </row>
    <row r="29" spans="1:8" s="16" customFormat="1" ht="21" customHeight="1" x14ac:dyDescent="0.25">
      <c r="A29" s="17"/>
      <c r="B29" s="15"/>
      <c r="C29" s="15"/>
      <c r="D29" s="15"/>
      <c r="E29" s="15"/>
      <c r="F29" s="15"/>
      <c r="G29" s="15"/>
      <c r="H29" s="18"/>
    </row>
    <row r="30" spans="1:8" ht="21" customHeight="1" x14ac:dyDescent="0.25">
      <c r="A30" s="19"/>
      <c r="B30" s="20"/>
      <c r="C30" s="20"/>
      <c r="D30" s="20"/>
      <c r="E30" s="20"/>
      <c r="F30" s="20"/>
      <c r="G30" s="20"/>
      <c r="H30" s="21"/>
    </row>
    <row r="31" spans="1:8" ht="21" customHeight="1" x14ac:dyDescent="0.25">
      <c r="A31" s="22" t="s">
        <v>63</v>
      </c>
      <c r="B31" s="20"/>
      <c r="C31" s="20"/>
      <c r="D31" s="20"/>
      <c r="E31" s="20"/>
      <c r="F31" s="23" t="s">
        <v>64</v>
      </c>
      <c r="G31" s="20"/>
      <c r="H31" s="21"/>
    </row>
    <row r="32" spans="1:8" ht="21" customHeight="1" thickBot="1" x14ac:dyDescent="0.3">
      <c r="A32" s="24" t="s">
        <v>51</v>
      </c>
      <c r="B32" s="25"/>
      <c r="C32" s="25"/>
      <c r="D32" s="25"/>
      <c r="E32" s="25"/>
      <c r="F32" s="60" t="s">
        <v>52</v>
      </c>
      <c r="G32" s="60"/>
      <c r="H32" s="26"/>
    </row>
    <row r="33" spans="1:8" ht="24" customHeight="1" x14ac:dyDescent="0.25">
      <c r="A33" s="16"/>
      <c r="B33" s="16"/>
      <c r="C33" s="16"/>
      <c r="D33" s="16"/>
      <c r="E33" s="16"/>
      <c r="F33" s="16"/>
      <c r="G33" s="16"/>
      <c r="H33" s="16"/>
    </row>
    <row r="34" spans="1:8" x14ac:dyDescent="0.25">
      <c r="A34" s="16"/>
      <c r="B34" s="16"/>
      <c r="C34" s="16"/>
      <c r="D34" s="16"/>
      <c r="E34" s="16"/>
      <c r="F34" s="16"/>
      <c r="G34" s="16"/>
      <c r="H34" s="16"/>
    </row>
    <row r="35" spans="1:8" x14ac:dyDescent="0.25">
      <c r="A35" s="16"/>
      <c r="B35" s="16"/>
      <c r="C35" s="16"/>
      <c r="D35" s="16"/>
      <c r="E35" s="16"/>
      <c r="F35" s="16"/>
      <c r="G35" s="16"/>
      <c r="H35" s="16"/>
    </row>
    <row r="36" spans="1:8" x14ac:dyDescent="0.25">
      <c r="A36" s="16"/>
      <c r="B36" s="16"/>
      <c r="C36" s="16"/>
      <c r="D36" s="16"/>
      <c r="E36" s="16"/>
      <c r="F36" s="16"/>
      <c r="G36" s="16"/>
      <c r="H36" s="16"/>
    </row>
    <row r="37" spans="1:8" x14ac:dyDescent="0.25">
      <c r="A37" s="16"/>
      <c r="B37" s="16"/>
      <c r="C37" s="16"/>
      <c r="D37" s="16"/>
      <c r="E37" s="16"/>
      <c r="F37" s="16"/>
      <c r="G37" s="16"/>
      <c r="H37" s="16"/>
    </row>
    <row r="38" spans="1:8" x14ac:dyDescent="0.25">
      <c r="A38" s="16"/>
      <c r="B38" s="16"/>
      <c r="C38" s="16"/>
      <c r="D38" s="16"/>
      <c r="E38" s="16"/>
      <c r="F38" s="16"/>
      <c r="G38" s="16"/>
      <c r="H38" s="16"/>
    </row>
    <row r="39" spans="1:8" x14ac:dyDescent="0.25">
      <c r="A39" s="16"/>
      <c r="B39" s="16"/>
      <c r="C39" s="16"/>
      <c r="D39" s="16"/>
      <c r="E39" s="16"/>
      <c r="F39" s="16"/>
      <c r="G39" s="16"/>
      <c r="H39" s="16"/>
    </row>
  </sheetData>
  <mergeCells count="28">
    <mergeCell ref="B1:H1"/>
    <mergeCell ref="B2:H2"/>
    <mergeCell ref="B3:H3"/>
    <mergeCell ref="A1:A3"/>
    <mergeCell ref="A4:H4"/>
    <mergeCell ref="A5:H5"/>
    <mergeCell ref="A18:H18"/>
    <mergeCell ref="A22:H22"/>
    <mergeCell ref="B13:H13"/>
    <mergeCell ref="B14:H14"/>
    <mergeCell ref="B15:H15"/>
    <mergeCell ref="B17:H17"/>
    <mergeCell ref="B6:H6"/>
    <mergeCell ref="B8:H8"/>
    <mergeCell ref="B9:H9"/>
    <mergeCell ref="B10:H10"/>
    <mergeCell ref="B11:H11"/>
    <mergeCell ref="F26:H26"/>
    <mergeCell ref="F27:H27"/>
    <mergeCell ref="F32:G32"/>
    <mergeCell ref="A28:H28"/>
    <mergeCell ref="A23:H23"/>
    <mergeCell ref="B16:H16"/>
    <mergeCell ref="B7:H7"/>
    <mergeCell ref="B19:H19"/>
    <mergeCell ref="B20:H20"/>
    <mergeCell ref="B21:H21"/>
    <mergeCell ref="B12:H12"/>
  </mergeCells>
  <pageMargins left="0.7" right="0.7" top="0.75" bottom="0.75" header="0.3" footer="0.3"/>
  <pageSetup paperSize="9" orientation="portrait" r:id="rId1"/>
  <ignoredErrors>
    <ignoredError sqref="B7 B8:H9" emptyCellReference="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3:J43"/>
  <sheetViews>
    <sheetView showGridLines="0" workbookViewId="0">
      <selection activeCell="L31" sqref="L31"/>
    </sheetView>
  </sheetViews>
  <sheetFormatPr defaultRowHeight="15" x14ac:dyDescent="0.25"/>
  <cols>
    <col min="1" max="1" width="31.28515625" customWidth="1"/>
    <col min="2" max="2" width="16.28515625" bestFit="1" customWidth="1"/>
    <col min="5" max="5" width="12.5703125" customWidth="1"/>
    <col min="6" max="6" width="16.28515625" bestFit="1" customWidth="1"/>
    <col min="9" max="9" width="12.5703125" customWidth="1"/>
    <col min="10" max="10" width="16.28515625" bestFit="1" customWidth="1"/>
  </cols>
  <sheetData>
    <row r="3" spans="1:10" x14ac:dyDescent="0.25">
      <c r="A3" s="31" t="s">
        <v>209</v>
      </c>
      <c r="B3" t="s">
        <v>211</v>
      </c>
      <c r="E3" s="31" t="s">
        <v>209</v>
      </c>
      <c r="F3" t="s">
        <v>211</v>
      </c>
      <c r="I3" s="31" t="s">
        <v>209</v>
      </c>
      <c r="J3" t="s">
        <v>211</v>
      </c>
    </row>
    <row r="4" spans="1:10" x14ac:dyDescent="0.25">
      <c r="A4" s="32" t="s">
        <v>42</v>
      </c>
      <c r="B4">
        <v>4</v>
      </c>
      <c r="E4" s="32" t="s">
        <v>91</v>
      </c>
      <c r="F4">
        <v>5</v>
      </c>
      <c r="I4" s="32" t="s">
        <v>27</v>
      </c>
      <c r="J4">
        <v>17</v>
      </c>
    </row>
    <row r="5" spans="1:10" x14ac:dyDescent="0.25">
      <c r="A5" s="32" t="s">
        <v>111</v>
      </c>
      <c r="B5">
        <v>3</v>
      </c>
      <c r="E5" s="32" t="s">
        <v>82</v>
      </c>
      <c r="F5">
        <v>6</v>
      </c>
      <c r="I5" s="32" t="s">
        <v>85</v>
      </c>
      <c r="J5">
        <v>11</v>
      </c>
    </row>
    <row r="6" spans="1:10" x14ac:dyDescent="0.25">
      <c r="A6" s="32" t="s">
        <v>98</v>
      </c>
      <c r="B6">
        <v>2</v>
      </c>
      <c r="E6" s="32" t="s">
        <v>67</v>
      </c>
      <c r="F6">
        <v>7</v>
      </c>
      <c r="I6" s="32" t="s">
        <v>210</v>
      </c>
      <c r="J6">
        <v>28</v>
      </c>
    </row>
    <row r="7" spans="1:10" x14ac:dyDescent="0.25">
      <c r="A7" s="32" t="s">
        <v>117</v>
      </c>
      <c r="B7">
        <v>2</v>
      </c>
      <c r="E7" s="32" t="s">
        <v>16</v>
      </c>
      <c r="F7">
        <v>10</v>
      </c>
    </row>
    <row r="8" spans="1:10" x14ac:dyDescent="0.25">
      <c r="A8" s="32" t="s">
        <v>123</v>
      </c>
      <c r="B8">
        <v>2</v>
      </c>
      <c r="E8" s="32" t="s">
        <v>210</v>
      </c>
      <c r="F8">
        <v>28</v>
      </c>
    </row>
    <row r="9" spans="1:10" x14ac:dyDescent="0.25">
      <c r="A9" s="32" t="s">
        <v>135</v>
      </c>
      <c r="B9">
        <v>2</v>
      </c>
    </row>
    <row r="10" spans="1:10" x14ac:dyDescent="0.25">
      <c r="A10" s="32" t="s">
        <v>90</v>
      </c>
      <c r="B10">
        <v>2</v>
      </c>
    </row>
    <row r="11" spans="1:10" x14ac:dyDescent="0.25">
      <c r="A11" s="32" t="s">
        <v>152</v>
      </c>
      <c r="B11">
        <v>2</v>
      </c>
    </row>
    <row r="12" spans="1:10" x14ac:dyDescent="0.25">
      <c r="A12" s="32" t="s">
        <v>104</v>
      </c>
      <c r="B12">
        <v>2</v>
      </c>
    </row>
    <row r="13" spans="1:10" x14ac:dyDescent="0.25">
      <c r="A13" s="32" t="s">
        <v>129</v>
      </c>
      <c r="B13">
        <v>2</v>
      </c>
    </row>
    <row r="14" spans="1:10" x14ac:dyDescent="0.25">
      <c r="A14" s="32" t="s">
        <v>146</v>
      </c>
      <c r="B14">
        <v>2</v>
      </c>
    </row>
    <row r="15" spans="1:10" x14ac:dyDescent="0.25">
      <c r="A15" s="32" t="s">
        <v>140</v>
      </c>
      <c r="B15">
        <v>1</v>
      </c>
      <c r="E15" s="31" t="s">
        <v>209</v>
      </c>
      <c r="F15" t="s">
        <v>211</v>
      </c>
      <c r="I15" s="31" t="s">
        <v>209</v>
      </c>
      <c r="J15" t="s">
        <v>211</v>
      </c>
    </row>
    <row r="16" spans="1:10" x14ac:dyDescent="0.25">
      <c r="A16" s="32" t="s">
        <v>81</v>
      </c>
      <c r="B16">
        <v>1</v>
      </c>
      <c r="E16" s="32" t="s">
        <v>23</v>
      </c>
      <c r="F16">
        <v>19</v>
      </c>
      <c r="I16" s="32" t="s">
        <v>29</v>
      </c>
      <c r="J16">
        <v>15</v>
      </c>
    </row>
    <row r="17" spans="1:10" x14ac:dyDescent="0.25">
      <c r="A17" s="32" t="s">
        <v>66</v>
      </c>
      <c r="B17">
        <v>1</v>
      </c>
      <c r="E17" s="32" t="s">
        <v>84</v>
      </c>
      <c r="F17">
        <v>9</v>
      </c>
      <c r="I17" s="32" t="s">
        <v>30</v>
      </c>
      <c r="J17">
        <v>13</v>
      </c>
    </row>
    <row r="18" spans="1:10" x14ac:dyDescent="0.25">
      <c r="A18" s="32" t="s">
        <v>210</v>
      </c>
      <c r="B18">
        <v>28</v>
      </c>
      <c r="E18" s="32" t="s">
        <v>210</v>
      </c>
      <c r="F18">
        <v>28</v>
      </c>
      <c r="I18" s="32" t="s">
        <v>210</v>
      </c>
      <c r="J18">
        <v>28</v>
      </c>
    </row>
    <row r="25" spans="1:10" x14ac:dyDescent="0.25">
      <c r="A25" s="31" t="s">
        <v>209</v>
      </c>
      <c r="B25" t="s">
        <v>211</v>
      </c>
      <c r="E25" s="31" t="s">
        <v>209</v>
      </c>
      <c r="F25" t="s">
        <v>211</v>
      </c>
    </row>
    <row r="26" spans="1:10" x14ac:dyDescent="0.25">
      <c r="A26" s="32" t="s">
        <v>95</v>
      </c>
      <c r="B26">
        <v>11</v>
      </c>
      <c r="E26" s="32" t="s">
        <v>35</v>
      </c>
      <c r="F26">
        <v>15</v>
      </c>
    </row>
    <row r="27" spans="1:10" x14ac:dyDescent="0.25">
      <c r="A27" s="32" t="s">
        <v>32</v>
      </c>
      <c r="B27">
        <v>8</v>
      </c>
      <c r="E27" s="32" t="s">
        <v>38</v>
      </c>
      <c r="F27">
        <v>2</v>
      </c>
    </row>
    <row r="28" spans="1:10" x14ac:dyDescent="0.25">
      <c r="A28" s="32" t="s">
        <v>108</v>
      </c>
      <c r="B28">
        <v>5</v>
      </c>
      <c r="E28" s="32" t="s">
        <v>37</v>
      </c>
      <c r="F28">
        <v>6</v>
      </c>
    </row>
    <row r="29" spans="1:10" x14ac:dyDescent="0.25">
      <c r="A29" s="32" t="s">
        <v>33</v>
      </c>
      <c r="B29">
        <v>4</v>
      </c>
      <c r="E29" s="32" t="s">
        <v>36</v>
      </c>
      <c r="F29">
        <v>5</v>
      </c>
    </row>
    <row r="30" spans="1:10" x14ac:dyDescent="0.25">
      <c r="A30" s="32" t="s">
        <v>210</v>
      </c>
      <c r="B30">
        <v>28</v>
      </c>
      <c r="E30" s="32" t="s">
        <v>210</v>
      </c>
      <c r="F30">
        <v>28</v>
      </c>
    </row>
    <row r="33" spans="1:2" ht="15.75" thickBot="1" x14ac:dyDescent="0.3"/>
    <row r="34" spans="1:2" x14ac:dyDescent="0.25">
      <c r="A34" s="84" t="s">
        <v>222</v>
      </c>
      <c r="B34" s="85"/>
    </row>
    <row r="35" spans="1:2" x14ac:dyDescent="0.25">
      <c r="A35" s="33" t="s">
        <v>212</v>
      </c>
      <c r="B35" s="34" t="s">
        <v>74</v>
      </c>
    </row>
    <row r="36" spans="1:2" x14ac:dyDescent="0.25">
      <c r="A36" s="33" t="s">
        <v>213</v>
      </c>
      <c r="B36" s="34" t="s">
        <v>75</v>
      </c>
    </row>
    <row r="37" spans="1:2" x14ac:dyDescent="0.25">
      <c r="A37" s="33" t="s">
        <v>214</v>
      </c>
      <c r="B37" s="34">
        <v>9</v>
      </c>
    </row>
    <row r="38" spans="1:2" x14ac:dyDescent="0.25">
      <c r="A38" s="33" t="s">
        <v>215</v>
      </c>
      <c r="B38" s="34">
        <v>19</v>
      </c>
    </row>
    <row r="39" spans="1:2" x14ac:dyDescent="0.25">
      <c r="A39" s="33" t="s">
        <v>216</v>
      </c>
      <c r="B39" s="34">
        <v>11</v>
      </c>
    </row>
    <row r="40" spans="1:2" x14ac:dyDescent="0.25">
      <c r="A40" s="33" t="s">
        <v>217</v>
      </c>
      <c r="B40" s="34">
        <v>17</v>
      </c>
    </row>
    <row r="41" spans="1:2" x14ac:dyDescent="0.25">
      <c r="A41" s="33" t="s">
        <v>219</v>
      </c>
      <c r="B41" s="34" t="s">
        <v>218</v>
      </c>
    </row>
    <row r="42" spans="1:2" x14ac:dyDescent="0.25">
      <c r="A42" s="33" t="s">
        <v>220</v>
      </c>
      <c r="B42" s="34" t="s">
        <v>76</v>
      </c>
    </row>
    <row r="43" spans="1:2" ht="15.75" thickBot="1" x14ac:dyDescent="0.3">
      <c r="A43" s="35" t="s">
        <v>221</v>
      </c>
      <c r="B43" s="36" t="s">
        <v>72</v>
      </c>
    </row>
  </sheetData>
  <mergeCells count="1">
    <mergeCell ref="A34:B34"/>
  </mergeCells>
  <pageMargins left="0.7" right="0.7" top="0.75" bottom="0.75" header="0.3" footer="0.3"/>
  <pageSetup orientation="portrait" r:id="rId8"/>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
  <sheetViews>
    <sheetView showGridLines="0" workbookViewId="0">
      <selection activeCell="I9" sqref="I9"/>
    </sheetView>
  </sheetViews>
  <sheetFormatPr defaultRowHeight="15" x14ac:dyDescent="0.25"/>
  <sheetData>
    <row r="1" spans="1:23" s="37" customFormat="1" ht="22.9" customHeight="1" x14ac:dyDescent="0.25">
      <c r="A1" s="86" t="s">
        <v>223</v>
      </c>
      <c r="B1" s="86"/>
      <c r="C1" s="86"/>
      <c r="D1" s="86"/>
      <c r="E1" s="86"/>
      <c r="F1" s="86"/>
      <c r="G1" s="86"/>
      <c r="H1" s="86"/>
      <c r="I1" s="86"/>
      <c r="J1" s="86"/>
      <c r="K1" s="86"/>
      <c r="L1" s="86"/>
      <c r="M1" s="86"/>
      <c r="N1" s="86"/>
      <c r="O1" s="86"/>
      <c r="P1" s="86"/>
      <c r="Q1" s="86"/>
      <c r="R1" s="86"/>
      <c r="S1" s="86"/>
      <c r="T1" s="86"/>
      <c r="U1" s="86"/>
      <c r="V1" s="86"/>
      <c r="W1" s="86"/>
    </row>
  </sheetData>
  <mergeCells count="1">
    <mergeCell ref="A1:W1"/>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DATA ENTRY APPLICATION</vt:lpstr>
      <vt:lpstr>MASTER DATA TABLE</vt:lpstr>
      <vt:lpstr>APPLICATION FORM</vt:lpstr>
      <vt:lpstr>PIVOT TABLE</vt:lpstr>
      <vt:lpstr>PIVOT CHARTS</vt:lpstr>
      <vt:lpstr>CIVIL</vt:lpstr>
      <vt:lpstr>COURSE</vt:lpstr>
      <vt:lpstr>GENDER</vt:lpstr>
      <vt:lpstr>MEDIUM</vt:lpstr>
      <vt:lpstr>'APPLICATION FORM'!Print_Area</vt:lpstr>
      <vt:lpstr>PROVINCE</vt:lpstr>
      <vt:lpstr>RELIGION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Oluwaseun Aina</dc:creator>
  <cp:lastModifiedBy>Oluwaseun Aina</cp:lastModifiedBy>
  <cp:lastPrinted>2025-06-10T19:06:35Z</cp:lastPrinted>
  <dcterms:created xsi:type="dcterms:W3CDTF">2024-03-20T09:54:18Z</dcterms:created>
  <dcterms:modified xsi:type="dcterms:W3CDTF">2025-06-10T19:24:45Z</dcterms:modified>
</cp:coreProperties>
</file>